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be05f105b4923a9a/Documents/"/>
    </mc:Choice>
  </mc:AlternateContent>
  <xr:revisionPtr revIDLastSave="19" documentId="13_ncr:1_{CCB4D97B-8ACB-4FDD-9946-996B788FEFCE}" xr6:coauthVersionLast="47" xr6:coauthVersionMax="47" xr10:uidLastSave="{473EE2CA-05E8-429A-832E-5FE70AAEEE2B}"/>
  <bookViews>
    <workbookView xWindow="-108" yWindow="-108" windowWidth="23256" windowHeight="12456" xr2:uid="{882BDA88-23EC-41D1-9B58-F5CD81E28444}"/>
  </bookViews>
  <sheets>
    <sheet name="Detail1" sheetId="4" r:id="rId1"/>
    <sheet name="Sheet1" sheetId="2" r:id="rId2"/>
    <sheet name="Sheet2" sheetId="3" r:id="rId3"/>
    <sheet name="srumthi18" sheetId="1" r:id="rId4"/>
  </sheets>
  <definedNames>
    <definedName name="NativeTimeline_Date">#N/A</definedName>
    <definedName name="Slicer_Format">#N/A</definedName>
    <definedName name="Slicer_Oppone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 l="1"/>
  <c r="C37" i="1"/>
  <c r="C27" i="2"/>
  <c r="P62" i="2"/>
  <c r="C8" i="2"/>
</calcChain>
</file>

<file path=xl/sharedStrings.xml><?xml version="1.0" encoding="utf-8"?>
<sst xmlns="http://schemas.openxmlformats.org/spreadsheetml/2006/main" count="532" uniqueCount="102">
  <si>
    <t>Date</t>
  </si>
  <si>
    <t>Format</t>
  </si>
  <si>
    <t>Opponent</t>
  </si>
  <si>
    <t>Venue</t>
  </si>
  <si>
    <t>Runs</t>
  </si>
  <si>
    <t>Balls</t>
  </si>
  <si>
    <t>SR</t>
  </si>
  <si>
    <t>4s</t>
  </si>
  <si>
    <t>6s</t>
  </si>
  <si>
    <t>Award</t>
  </si>
  <si>
    <t>Result</t>
  </si>
  <si>
    <t>Tournament</t>
  </si>
  <si>
    <t>ODI</t>
  </si>
  <si>
    <t>Hobart</t>
  </si>
  <si>
    <t>Loss</t>
  </si>
  <si>
    <t>India vs Australia ODI Series</t>
  </si>
  <si>
    <t>Brisbane</t>
  </si>
  <si>
    <t>Win</t>
  </si>
  <si>
    <t>T20I</t>
  </si>
  <si>
    <t>Adelaide</t>
  </si>
  <si>
    <t>Player of the Match</t>
  </si>
  <si>
    <t>India vs Australia T20I Series</t>
  </si>
  <si>
    <t>Canberra</t>
  </si>
  <si>
    <t>Sydney</t>
  </si>
  <si>
    <t>16*</t>
  </si>
  <si>
    <t>WPL</t>
  </si>
  <si>
    <t>Vadodara</t>
  </si>
  <si>
    <t>WPL Season 3</t>
  </si>
  <si>
    <t>54*</t>
  </si>
  <si>
    <t>Navi Mumbai</t>
  </si>
  <si>
    <t>Lucknow</t>
  </si>
  <si>
    <t>India vs South Africa ODI Series</t>
  </si>
  <si>
    <t>London</t>
  </si>
  <si>
    <t>India vs England T20I Series</t>
  </si>
  <si>
    <t>Test</t>
  </si>
  <si>
    <t>Chennai</t>
  </si>
  <si>
    <t>Draw</t>
  </si>
  <si>
    <t>India vs South Africa Test Series</t>
  </si>
  <si>
    <t>Bengaluru</t>
  </si>
  <si>
    <t>WPL Season 2</t>
  </si>
  <si>
    <t>Mumbai</t>
  </si>
  <si>
    <t>India vs England ODI Series</t>
  </si>
  <si>
    <t>Delhi</t>
  </si>
  <si>
    <t>Port of Spain</t>
  </si>
  <si>
    <t>India vs West Indies T20I Series</t>
  </si>
  <si>
    <t>Auckland</t>
  </si>
  <si>
    <t>India vs New Zealand ODI Series</t>
  </si>
  <si>
    <t>WPL Season 1</t>
  </si>
  <si>
    <t>Melbourne</t>
  </si>
  <si>
    <t>Hamilton</t>
  </si>
  <si>
    <t>WPL Exhibition Matches</t>
  </si>
  <si>
    <t>Aggregate</t>
  </si>
  <si>
    <t>Matches</t>
  </si>
  <si>
    <t>Average</t>
  </si>
  <si>
    <t>Strike Rate</t>
  </si>
  <si>
    <t>100s</t>
  </si>
  <si>
    <t>50s</t>
  </si>
  <si>
    <t>Awards</t>
  </si>
  <si>
    <t>Career Summary</t>
  </si>
  <si>
    <t>Player of the Match x 20</t>
  </si>
  <si>
    <t>Player of the Match x 15</t>
  </si>
  <si>
    <t>Player of the Match x 2</t>
  </si>
  <si>
    <t>Player of the Match x 10</t>
  </si>
  <si>
    <t>Column1</t>
  </si>
  <si>
    <t>Column2</t>
  </si>
  <si>
    <t>Column3</t>
  </si>
  <si>
    <t>Column4</t>
  </si>
  <si>
    <t>Column5</t>
  </si>
  <si>
    <t>Column6</t>
  </si>
  <si>
    <t>Column7</t>
  </si>
  <si>
    <t>Column8</t>
  </si>
  <si>
    <t>AUSW(Australia)</t>
  </si>
  <si>
    <t>DCW(Delhi)</t>
  </si>
  <si>
    <t>UPW(UP)</t>
  </si>
  <si>
    <t>MIW(Mumbai)</t>
  </si>
  <si>
    <t>SAW(South Africa)</t>
  </si>
  <si>
    <t>ENGW(England)</t>
  </si>
  <si>
    <t>WIW(West Indies)</t>
  </si>
  <si>
    <t>NZW(New Zealand)</t>
  </si>
  <si>
    <t>No Award</t>
  </si>
  <si>
    <t>Column9</t>
  </si>
  <si>
    <t>Row Labels</t>
  </si>
  <si>
    <t>Grand Total</t>
  </si>
  <si>
    <t>Count of Award</t>
  </si>
  <si>
    <t>Sum of Runs</t>
  </si>
  <si>
    <t>Count of Result</t>
  </si>
  <si>
    <t>Sum of 4s</t>
  </si>
  <si>
    <t>Sum of 6s</t>
  </si>
  <si>
    <t>Count of 4s</t>
  </si>
  <si>
    <t>Count of 6s</t>
  </si>
  <si>
    <t>Sum of Balls</t>
  </si>
  <si>
    <t>Sum of 100s</t>
  </si>
  <si>
    <t>Sum of 50s</t>
  </si>
  <si>
    <t>Average of Strike Rate</t>
  </si>
  <si>
    <t>total runs</t>
  </si>
  <si>
    <t>Details for Count of Result</t>
  </si>
  <si>
    <t>Average of SR</t>
  </si>
  <si>
    <t>2022</t>
  </si>
  <si>
    <t>2023</t>
  </si>
  <si>
    <t>2025</t>
  </si>
  <si>
    <t>2024</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</si>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</sst>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theme="0"/>
        <bgColor theme="5"/>
      </patternFill>
    </fill>
    <fill>
      <patternFill patternType="solid">
        <fgColor theme="0"/>
        <bgColor theme="0" tint="-0.14999847407452621"/>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5"/>
      </right>
      <top style="thin">
        <color theme="5"/>
      </top>
      <bottom/>
      <diagonal/>
    </border>
    <border>
      <left/>
      <right style="thin">
        <color theme="5"/>
      </right>
      <top style="thin">
        <color theme="5"/>
      </top>
      <bottom style="thin">
        <color theme="5"/>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34" borderId="10" xfId="0" applyFill="1" applyBorder="1"/>
    <xf numFmtId="14" fontId="0" fillId="0" borderId="0" xfId="0" applyNumberFormat="1" applyAlignment="1">
      <alignment vertical="top"/>
    </xf>
    <xf numFmtId="0" fontId="13" fillId="33" borderId="11" xfId="0" applyFont="1" applyFill="1" applyBorder="1"/>
    <xf numFmtId="0" fontId="13" fillId="33" borderId="12" xfId="0" applyFont="1" applyFill="1" applyBorder="1"/>
    <xf numFmtId="0" fontId="13" fillId="33" borderId="13" xfId="0" applyFont="1" applyFill="1" applyBorder="1"/>
    <xf numFmtId="0" fontId="0" fillId="34" borderId="11" xfId="0" applyFill="1" applyBorder="1"/>
    <xf numFmtId="0" fontId="0" fillId="34" borderId="12" xfId="0" applyFill="1" applyBorder="1"/>
    <xf numFmtId="0" fontId="0" fillId="0" borderId="14" xfId="0" applyBorder="1"/>
    <xf numFmtId="0" fontId="0" fillId="0" borderId="15" xfId="0" applyBorder="1"/>
    <xf numFmtId="0" fontId="18" fillId="34" borderId="11" xfId="0" applyFont="1" applyFill="1" applyBorder="1"/>
    <xf numFmtId="0" fontId="0" fillId="35" borderId="11" xfId="0" applyFill="1" applyBorder="1"/>
    <xf numFmtId="0" fontId="0" fillId="35" borderId="12" xfId="0" applyFill="1" applyBorder="1"/>
    <xf numFmtId="0" fontId="0" fillId="0" borderId="0" xfId="0" pivotButton="1"/>
    <xf numFmtId="0" fontId="0" fillId="0" borderId="0" xfId="0" applyAlignment="1">
      <alignment horizontal="left"/>
    </xf>
    <xf numFmtId="0" fontId="18" fillId="34" borderId="0" xfId="0" applyFont="1" applyFill="1"/>
    <xf numFmtId="0" fontId="13" fillId="36" borderId="14" xfId="0" applyFont="1" applyFill="1" applyBorder="1"/>
    <xf numFmtId="0" fontId="0" fillId="37" borderId="14" xfId="0" applyFill="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dxf>
    <dxf>
      <numFmt numFmtId="19" formatCode="dd/mm/yyyy"/>
    </dxf>
    <dxf>
      <numFmt numFmtId="19" formatCode="dd/mm/yyyy"/>
    </dxf>
  </dxfs>
  <tableStyles count="0" defaultTableStyle="TableStyleMedium2" defaultPivotStyle="PivotStyleLight16"/>
  <colors>
    <mruColors>
      <color rgb="FF79155C"/>
      <color rgb="FFA81E81"/>
      <color rgb="FF66FF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[srumuthi_mandannadashboard.xlsx]Sheet1!PivotTable15</c:name>
    <c:fmtId val="4"/>
  </c:pivotSource>
  <c:chart>
    <c:title>
      <c:tx>
        <c:rich>
          <a:bodyPr rot="0" spcFirstLastPara="1" vertOverflow="ellipsis" vert="horz" wrap="square" anchor="ctr" anchorCtr="1"/>
          <a:lstStyle/>
          <a:p>
            <a:pPr>
              <a:defRPr sz="1400" b="1" i="1" u="none" strike="noStrike" kern="1200" spc="0" baseline="0">
                <a:solidFill>
                  <a:schemeClr val="tx1"/>
                </a:solidFill>
                <a:latin typeface="Aparajita" panose="02020603050405020304" pitchFamily="18" charset="0"/>
                <a:ea typeface="+mn-ea"/>
                <a:cs typeface="Aparajita" panose="02020603050405020304" pitchFamily="18" charset="0"/>
              </a:defRPr>
            </a:pPr>
            <a:r>
              <a:rPr lang="en-IN" b="1" i="1">
                <a:solidFill>
                  <a:schemeClr val="tx1"/>
                </a:solidFill>
                <a:latin typeface="Aparajita" panose="02020603050405020304" pitchFamily="18" charset="0"/>
                <a:cs typeface="Aparajita" panose="02020603050405020304" pitchFamily="18" charset="0"/>
              </a:rPr>
              <a:t>Avg Strike Rate</a:t>
            </a:r>
          </a:p>
        </c:rich>
      </c:tx>
      <c:layout>
        <c:manualLayout>
          <c:xMode val="edge"/>
          <c:yMode val="edge"/>
          <c:x val="0.33884719534693497"/>
          <c:y val="0.10083105199981915"/>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58000"/>
            </a:schemeClr>
          </a:solidFill>
          <a:ln w="19050">
            <a:solidFill>
              <a:schemeClr val="lt1"/>
            </a:solidFill>
          </a:ln>
          <a:effectLst/>
        </c:spPr>
      </c:pivotFmt>
      <c:pivotFmt>
        <c:idx val="2"/>
        <c:spPr>
          <a:solidFill>
            <a:schemeClr val="accent2">
              <a:shade val="86000"/>
            </a:schemeClr>
          </a:solidFill>
          <a:ln w="19050">
            <a:solidFill>
              <a:schemeClr val="lt1"/>
            </a:solidFill>
          </a:ln>
          <a:effectLst/>
        </c:spPr>
      </c:pivotFmt>
      <c:pivotFmt>
        <c:idx val="3"/>
        <c:spPr>
          <a:solidFill>
            <a:schemeClr val="accent2">
              <a:tint val="86000"/>
            </a:schemeClr>
          </a:solidFill>
          <a:ln w="19050">
            <a:solidFill>
              <a:schemeClr val="lt1"/>
            </a:solidFill>
          </a:ln>
          <a:effectLst/>
        </c:spPr>
      </c:pivotFmt>
      <c:pivotFmt>
        <c:idx val="4"/>
        <c:spPr>
          <a:solidFill>
            <a:schemeClr val="accent2">
              <a:tint val="58000"/>
            </a:schemeClr>
          </a:solidFill>
          <a:ln w="19050">
            <a:solidFill>
              <a:schemeClr val="lt1"/>
            </a:solidFill>
          </a:ln>
          <a:effectLst/>
        </c:spPr>
      </c:pivotFmt>
    </c:pivotFmts>
    <c:plotArea>
      <c:layout/>
      <c:pieChart>
        <c:varyColors val="1"/>
        <c:ser>
          <c:idx val="0"/>
          <c:order val="0"/>
          <c:tx>
            <c:strRef>
              <c:f>Sheet1!$U$44</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D0CF-4360-852E-529E020518BE}"/>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D0CF-4360-852E-529E020518BE}"/>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D0CF-4360-852E-529E020518BE}"/>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D0CF-4360-852E-529E020518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Sheet1!$T$45:$T$49</c:f>
              <c:strCache>
                <c:ptCount val="4"/>
                <c:pt idx="0">
                  <c:v>ODI</c:v>
                </c:pt>
                <c:pt idx="1">
                  <c:v>T20I</c:v>
                </c:pt>
                <c:pt idx="2">
                  <c:v>Test</c:v>
                </c:pt>
                <c:pt idx="3">
                  <c:v>WPL</c:v>
                </c:pt>
              </c:strCache>
            </c:strRef>
          </c:cat>
          <c:val>
            <c:numRef>
              <c:f>Sheet1!$U$45:$U$49</c:f>
              <c:numCache>
                <c:formatCode>General</c:formatCode>
                <c:ptCount val="4"/>
                <c:pt idx="0">
                  <c:v>75.5</c:v>
                </c:pt>
                <c:pt idx="1">
                  <c:v>133.14285714285717</c:v>
                </c:pt>
                <c:pt idx="2">
                  <c:v>63.6</c:v>
                </c:pt>
                <c:pt idx="3">
                  <c:v>154.63999999999999</c:v>
                </c:pt>
              </c:numCache>
            </c:numRef>
          </c:val>
          <c:extLst>
            <c:ext xmlns:c16="http://schemas.microsoft.com/office/drawing/2014/chart" uri="{C3380CC4-5D6E-409C-BE32-E72D297353CC}">
              <c16:uniqueId val="{00000000-C985-4F7A-8BEF-8D4100321BC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i="1">
                <a:solidFill>
                  <a:srgbClr val="C00000"/>
                </a:solidFill>
                <a:latin typeface="Aparajita" panose="02020603050405020304" pitchFamily="18" charset="0"/>
                <a:cs typeface="Aparajita" panose="02020603050405020304" pitchFamily="18" charset="0"/>
              </a:rPr>
              <a:t>Total Awards</a:t>
            </a:r>
          </a:p>
        </c:rich>
      </c:tx>
      <c:layout>
        <c:manualLayout>
          <c:xMode val="edge"/>
          <c:yMode val="edge"/>
          <c:x val="0.3471874453193351"/>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hade val="58000"/>
            </a:schemeClr>
          </a:solidFill>
          <a:ln>
            <a:noFill/>
          </a:ln>
          <a:effectLst>
            <a:outerShdw blurRad="254000" sx="102000" sy="102000" algn="ctr" rotWithShape="0">
              <a:prstClr val="black">
                <a:alpha val="20000"/>
              </a:prstClr>
            </a:outerShdw>
          </a:effectLst>
          <a:sp3d/>
        </c:spPr>
      </c:pivotFmt>
      <c:pivotFmt>
        <c:idx val="2"/>
        <c:spPr>
          <a:solidFill>
            <a:schemeClr val="accent2">
              <a:tint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tint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hade val="8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8790-4A59-BD05-B3064945CC0D}"/>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790-4A59-BD05-B3064945CC0D}"/>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8790-4A59-BD05-B3064945CC0D}"/>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790-4A59-BD05-B3064945CC0D}"/>
              </c:ext>
            </c:extLst>
          </c:dPt>
          <c:dLbls>
            <c:dLbl>
              <c:idx val="2"/>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8790-4A59-BD05-B3064945CC0D}"/>
                </c:ext>
              </c:extLst>
            </c:dLbl>
            <c:dLbl>
              <c:idx val="3"/>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8790-4A59-BD05-B3064945CC0D}"/>
                </c:ext>
              </c:extLst>
            </c:dLbl>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Sheet1!$A$4:$A$8</c:f>
              <c:strCache>
                <c:ptCount val="4"/>
                <c:pt idx="0">
                  <c:v>ODI</c:v>
                </c:pt>
                <c:pt idx="1">
                  <c:v>T20I</c:v>
                </c:pt>
                <c:pt idx="2">
                  <c:v>Test</c:v>
                </c:pt>
                <c:pt idx="3">
                  <c:v>WPL</c:v>
                </c:pt>
              </c:strCache>
            </c:strRef>
          </c:cat>
          <c:val>
            <c:numRef>
              <c:f>Sheet1!$B$4:$B$8</c:f>
              <c:numCache>
                <c:formatCode>General</c:formatCode>
                <c:ptCount val="4"/>
                <c:pt idx="0">
                  <c:v>8</c:v>
                </c:pt>
                <c:pt idx="1">
                  <c:v>7</c:v>
                </c:pt>
                <c:pt idx="2">
                  <c:v>1</c:v>
                </c:pt>
                <c:pt idx="3">
                  <c:v>10</c:v>
                </c:pt>
              </c:numCache>
            </c:numRef>
          </c:val>
          <c:extLst>
            <c:ext xmlns:c16="http://schemas.microsoft.com/office/drawing/2014/chart" uri="{C3380CC4-5D6E-409C-BE32-E72D297353CC}">
              <c16:uniqueId val="{00000000-8790-4A59-BD05-B3064945CC0D}"/>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i="1" u="sng">
                <a:solidFill>
                  <a:srgbClr val="C00000"/>
                </a:solidFill>
                <a:latin typeface="Aparajita" panose="02020603050405020304" pitchFamily="18" charset="0"/>
                <a:cs typeface="Aparajita" panose="02020603050405020304" pitchFamily="18" charset="0"/>
              </a:rPr>
              <a:t>Winning</a:t>
            </a:r>
            <a:r>
              <a:rPr lang="en-US" sz="1600" b="1" i="1" u="sng" baseline="0">
                <a:solidFill>
                  <a:srgbClr val="C00000"/>
                </a:solidFill>
                <a:latin typeface="Aparajita" panose="02020603050405020304" pitchFamily="18" charset="0"/>
                <a:cs typeface="Aparajita" panose="02020603050405020304" pitchFamily="18" charset="0"/>
              </a:rPr>
              <a:t> Matches</a:t>
            </a:r>
            <a:endParaRPr lang="en-US" sz="1600" b="1" i="1" u="sng">
              <a:solidFill>
                <a:srgbClr val="C00000"/>
              </a:solidFill>
              <a:latin typeface="Aparajita" panose="02020603050405020304" pitchFamily="18" charset="0"/>
              <a:cs typeface="Aparajita" panose="02020603050405020304" pitchFamily="18" charset="0"/>
            </a:endParaRPr>
          </a:p>
        </c:rich>
      </c:tx>
      <c:layout>
        <c:manualLayout>
          <c:xMode val="edge"/>
          <c:yMode val="edge"/>
          <c:x val="0.56596522309711284"/>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tint val="58000"/>
            </a:schemeClr>
          </a:solidFill>
          <a:ln>
            <a:noFill/>
          </a:ln>
          <a:effectLst>
            <a:outerShdw blurRad="254000" sx="102000" sy="102000" algn="ctr" rotWithShape="0">
              <a:prstClr val="black">
                <a:alpha val="20000"/>
              </a:prstClr>
            </a:outerShdw>
          </a:effectLst>
        </c:spPr>
      </c:pivotFmt>
      <c:pivotFmt>
        <c:idx val="2"/>
        <c:spPr>
          <a:solidFill>
            <a:schemeClr val="accent2">
              <a:shade val="58000"/>
            </a:schemeClr>
          </a:solidFill>
          <a:ln>
            <a:noFill/>
          </a:ln>
          <a:effectLst>
            <a:outerShdw blurRad="254000" sx="102000" sy="102000" algn="ctr" rotWithShape="0">
              <a:prstClr val="black">
                <a:alpha val="20000"/>
              </a:prstClr>
            </a:outerShdw>
          </a:effectLst>
        </c:spPr>
      </c:pivotFmt>
      <c:pivotFmt>
        <c:idx val="3"/>
        <c:spPr>
          <a:solidFill>
            <a:schemeClr val="accent2">
              <a:shade val="86000"/>
            </a:schemeClr>
          </a:solidFill>
          <a:ln>
            <a:noFill/>
          </a:ln>
          <a:effectLst>
            <a:outerShdw blurRad="254000" sx="102000" sy="102000" algn="ctr" rotWithShape="0">
              <a:prstClr val="black">
                <a:alpha val="20000"/>
              </a:prstClr>
            </a:outerShdw>
          </a:effectLst>
        </c:spPr>
      </c:pivotFmt>
      <c:pivotFmt>
        <c:idx val="4"/>
        <c:spPr>
          <a:solidFill>
            <a:schemeClr val="accent2">
              <a:tint val="86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723643919510054"/>
          <c:y val="0.26889982502187221"/>
          <c:w val="0.34052734033245846"/>
          <c:h val="0.5675455672207641"/>
        </c:manualLayout>
      </c:layout>
      <c:doughnutChart>
        <c:varyColors val="1"/>
        <c:ser>
          <c:idx val="0"/>
          <c:order val="0"/>
          <c:tx>
            <c:strRef>
              <c:f>Sheet1!$B$76</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D2-4348-B431-028194488E2E}"/>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A2-4BFD-AFF0-894524A6FFFC}"/>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A2-4BFD-AFF0-894524A6FFFC}"/>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4D2-4348-B431-028194488E2E}"/>
              </c:ext>
            </c:extLst>
          </c:dPt>
          <c:dLbls>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Sheet1!$A$77:$A$81</c:f>
              <c:strCache>
                <c:ptCount val="4"/>
                <c:pt idx="0">
                  <c:v>ODI</c:v>
                </c:pt>
                <c:pt idx="1">
                  <c:v>T20I</c:v>
                </c:pt>
                <c:pt idx="2">
                  <c:v>Test</c:v>
                </c:pt>
                <c:pt idx="3">
                  <c:v>WPL</c:v>
                </c:pt>
              </c:strCache>
            </c:strRef>
          </c:cat>
          <c:val>
            <c:numRef>
              <c:f>Sheet1!$B$77:$B$81</c:f>
              <c:numCache>
                <c:formatCode>General</c:formatCode>
                <c:ptCount val="4"/>
                <c:pt idx="0">
                  <c:v>8</c:v>
                </c:pt>
                <c:pt idx="1">
                  <c:v>7</c:v>
                </c:pt>
                <c:pt idx="2">
                  <c:v>1</c:v>
                </c:pt>
                <c:pt idx="3">
                  <c:v>10</c:v>
                </c:pt>
              </c:numCache>
            </c:numRef>
          </c:val>
          <c:extLst>
            <c:ext xmlns:c16="http://schemas.microsoft.com/office/drawing/2014/chart" uri="{C3380CC4-5D6E-409C-BE32-E72D297353CC}">
              <c16:uniqueId val="{00000000-E4D2-4348-B431-028194488E2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[srumuthi_mandannadashboard.xlsx]Sheet1!PivotTable4</c:name>
    <c:fmtId val="16"/>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sz="1200" b="1" i="1" u="sng">
                <a:solidFill>
                  <a:srgbClr val="C00000"/>
                </a:solidFill>
                <a:latin typeface="Aparajita" panose="02020603050405020304" pitchFamily="18" charset="0"/>
                <a:cs typeface="Aparajita" panose="02020603050405020304" pitchFamily="18" charset="0"/>
              </a:rPr>
              <a:t>Trend</a:t>
            </a:r>
            <a:r>
              <a:rPr lang="en-US" sz="1200" b="1" i="1" u="sng" baseline="0">
                <a:solidFill>
                  <a:srgbClr val="C00000"/>
                </a:solidFill>
                <a:latin typeface="Aparajita" panose="02020603050405020304" pitchFamily="18" charset="0"/>
                <a:cs typeface="Aparajita" panose="02020603050405020304" pitchFamily="18" charset="0"/>
              </a:rPr>
              <a:t> analysis of runs</a:t>
            </a:r>
            <a:endParaRPr lang="en-US" sz="1200" b="1" i="1" u="sng">
              <a:solidFill>
                <a:srgbClr val="C00000"/>
              </a:solidFill>
              <a:latin typeface="Aparajita" panose="02020603050405020304" pitchFamily="18" charset="0"/>
              <a:cs typeface="Aparajita" panose="02020603050405020304" pitchFamily="18" charset="0"/>
            </a:endParaRPr>
          </a:p>
        </c:rich>
      </c:tx>
      <c:layout>
        <c:manualLayout>
          <c:xMode val="edge"/>
          <c:yMode val="edge"/>
          <c:x val="0.2810067804024497"/>
          <c:y val="0.12397929425488481"/>
        </c:manualLayout>
      </c:layout>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Sheet1!$A$22:$A$27</c:f>
              <c:strCache>
                <c:ptCount val="5"/>
                <c:pt idx="0">
                  <c:v>2022</c:v>
                </c:pt>
                <c:pt idx="1">
                  <c:v>2023</c:v>
                </c:pt>
                <c:pt idx="2">
                  <c:v>2024</c:v>
                </c:pt>
                <c:pt idx="3">
                  <c:v>2025</c:v>
                </c:pt>
                <c:pt idx="4">
                  <c:v>2026</c:v>
                </c:pt>
              </c:strCache>
            </c:strRef>
          </c:cat>
          <c:val>
            <c:numRef>
              <c:f>Sheet1!$B$22:$B$27</c:f>
              <c:numCache>
                <c:formatCode>General</c:formatCode>
                <c:ptCount val="5"/>
                <c:pt idx="0">
                  <c:v>262</c:v>
                </c:pt>
                <c:pt idx="1">
                  <c:v>629</c:v>
                </c:pt>
                <c:pt idx="2">
                  <c:v>382</c:v>
                </c:pt>
                <c:pt idx="3">
                  <c:v>117</c:v>
                </c:pt>
                <c:pt idx="4">
                  <c:v>391</c:v>
                </c:pt>
              </c:numCache>
            </c:numRef>
          </c:val>
          <c:smooth val="0"/>
          <c:extLst>
            <c:ext xmlns:c16="http://schemas.microsoft.com/office/drawing/2014/chart" uri="{C3380CC4-5D6E-409C-BE32-E72D297353CC}">
              <c16:uniqueId val="{00000000-AE42-44B6-A8F5-9CA83D54317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18013136"/>
        <c:axId val="418013616"/>
      </c:lineChart>
      <c:catAx>
        <c:axId val="418013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100" b="1" i="1">
                    <a:solidFill>
                      <a:schemeClr val="tx1"/>
                    </a:solidFill>
                    <a:latin typeface="Aparajita" panose="02020603050405020304" pitchFamily="18" charset="0"/>
                    <a:cs typeface="Aparajita" panose="02020603050405020304" pitchFamily="18" charset="0"/>
                  </a:rPr>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Aparajita" panose="02020603050405020304" pitchFamily="18" charset="0"/>
                <a:ea typeface="+mn-ea"/>
                <a:cs typeface="Aparajita" panose="02020603050405020304" pitchFamily="18" charset="0"/>
              </a:defRPr>
            </a:pPr>
            <a:endParaRPr lang="en-US"/>
          </a:p>
        </c:txPr>
        <c:crossAx val="418013616"/>
        <c:crosses val="autoZero"/>
        <c:auto val="1"/>
        <c:lblAlgn val="ctr"/>
        <c:lblOffset val="100"/>
        <c:noMultiLvlLbl val="0"/>
      </c:catAx>
      <c:valAx>
        <c:axId val="418013616"/>
        <c:scaling>
          <c:orientation val="minMax"/>
        </c:scaling>
        <c:delete val="0"/>
        <c:axPos val="l"/>
        <c:title>
          <c:tx>
            <c:rich>
              <a:bodyPr rot="-540000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r>
                  <a:rPr lang="en-IN" sz="1100" b="1" i="1">
                    <a:solidFill>
                      <a:schemeClr val="tx1"/>
                    </a:solidFill>
                    <a:latin typeface="Aparajita" panose="02020603050405020304" pitchFamily="18" charset="0"/>
                    <a:cs typeface="Aparajita" panose="02020603050405020304" pitchFamily="18" charset="0"/>
                  </a:rPr>
                  <a:t>RUNS</a:t>
                </a:r>
              </a:p>
            </c:rich>
          </c:tx>
          <c:layout>
            <c:manualLayout>
              <c:xMode val="edge"/>
              <c:yMode val="edge"/>
              <c:x val="3.0555555555555555E-2"/>
              <c:y val="0.42126567512394286"/>
            </c:manualLayout>
          </c:layout>
          <c:overlay val="0"/>
          <c:spPr>
            <a:noFill/>
            <a:ln>
              <a:noFill/>
            </a:ln>
            <a:effectLst/>
          </c:spPr>
          <c:txPr>
            <a:bodyPr rot="-540000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1" u="none" strike="noStrike" kern="1200" baseline="0">
                <a:solidFill>
                  <a:schemeClr val="tx1"/>
                </a:solidFill>
                <a:latin typeface="+mn-lt"/>
                <a:ea typeface="+mn-ea"/>
                <a:cs typeface="+mn-cs"/>
              </a:defRPr>
            </a:pPr>
            <a:endParaRPr lang="en-US"/>
          </a:p>
        </c:txPr>
        <c:crossAx val="4180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[srumuthi_mandannadashboard.xlsx]Sheet1!PivotTable12</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17675954306428E-2"/>
          <c:y val="0.2038690447903618"/>
          <c:w val="0.7645394277336196"/>
          <c:h val="0.42867529791492814"/>
        </c:manualLayout>
      </c:layout>
      <c:barChart>
        <c:barDir val="col"/>
        <c:grouping val="clustered"/>
        <c:varyColors val="0"/>
        <c:ser>
          <c:idx val="0"/>
          <c:order val="0"/>
          <c:tx>
            <c:strRef>
              <c:f>Sheet1!$O$36</c:f>
              <c:strCache>
                <c:ptCount val="1"/>
                <c:pt idx="0">
                  <c:v>Sum of 100s</c:v>
                </c:pt>
              </c:strCache>
            </c:strRef>
          </c:tx>
          <c:spPr>
            <a:solidFill>
              <a:schemeClr val="accent2">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Sheet1!$N$37:$N$41</c:f>
              <c:strCache>
                <c:ptCount val="4"/>
                <c:pt idx="0">
                  <c:v>ODI</c:v>
                </c:pt>
                <c:pt idx="1">
                  <c:v>T20I</c:v>
                </c:pt>
                <c:pt idx="2">
                  <c:v>Test</c:v>
                </c:pt>
                <c:pt idx="3">
                  <c:v>WPL</c:v>
                </c:pt>
              </c:strCache>
            </c:strRef>
          </c:cat>
          <c:val>
            <c:numRef>
              <c:f>Sheet1!$O$37:$O$41</c:f>
              <c:numCache>
                <c:formatCode>General</c:formatCode>
                <c:ptCount val="4"/>
                <c:pt idx="0">
                  <c:v>14</c:v>
                </c:pt>
                <c:pt idx="1">
                  <c:v>1</c:v>
                </c:pt>
                <c:pt idx="2">
                  <c:v>2</c:v>
                </c:pt>
                <c:pt idx="3">
                  <c:v>0</c:v>
                </c:pt>
              </c:numCache>
            </c:numRef>
          </c:val>
          <c:extLst>
            <c:ext xmlns:c16="http://schemas.microsoft.com/office/drawing/2014/chart" uri="{C3380CC4-5D6E-409C-BE32-E72D297353CC}">
              <c16:uniqueId val="{00000000-75AD-4390-AD09-85EE2C323B95}"/>
            </c:ext>
          </c:extLst>
        </c:ser>
        <c:ser>
          <c:idx val="1"/>
          <c:order val="1"/>
          <c:tx>
            <c:strRef>
              <c:f>Sheet1!$P$36</c:f>
              <c:strCache>
                <c:ptCount val="1"/>
                <c:pt idx="0">
                  <c:v>Sum of 50s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Sheet1!$N$37:$N$41</c:f>
              <c:strCache>
                <c:ptCount val="4"/>
                <c:pt idx="0">
                  <c:v>ODI</c:v>
                </c:pt>
                <c:pt idx="1">
                  <c:v>T20I</c:v>
                </c:pt>
                <c:pt idx="2">
                  <c:v>Test</c:v>
                </c:pt>
                <c:pt idx="3">
                  <c:v>WPL</c:v>
                </c:pt>
              </c:strCache>
            </c:strRef>
          </c:cat>
          <c:val>
            <c:numRef>
              <c:f>Sheet1!$P$37:$P$41</c:f>
              <c:numCache>
                <c:formatCode>General</c:formatCode>
                <c:ptCount val="4"/>
                <c:pt idx="0">
                  <c:v>35</c:v>
                </c:pt>
                <c:pt idx="1">
                  <c:v>33</c:v>
                </c:pt>
                <c:pt idx="2">
                  <c:v>3</c:v>
                </c:pt>
                <c:pt idx="3">
                  <c:v>7</c:v>
                </c:pt>
              </c:numCache>
            </c:numRef>
          </c:val>
          <c:extLst>
            <c:ext xmlns:c16="http://schemas.microsoft.com/office/drawing/2014/chart" uri="{C3380CC4-5D6E-409C-BE32-E72D297353CC}">
              <c16:uniqueId val="{00000001-75AD-4390-AD09-85EE2C323B95}"/>
            </c:ext>
          </c:extLst>
        </c:ser>
        <c:ser>
          <c:idx val="2"/>
          <c:order val="2"/>
          <c:tx>
            <c:strRef>
              <c:f>Sheet1!$Q$36</c:f>
              <c:strCache>
                <c:ptCount val="1"/>
                <c:pt idx="0">
                  <c:v>Average of Strike Rate</c:v>
                </c:pt>
              </c:strCache>
            </c:strRef>
          </c:tx>
          <c:spPr>
            <a:solidFill>
              <a:schemeClr val="accent2">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Sheet1!$N$37:$N$41</c:f>
              <c:strCache>
                <c:ptCount val="4"/>
                <c:pt idx="0">
                  <c:v>ODI</c:v>
                </c:pt>
                <c:pt idx="1">
                  <c:v>T20I</c:v>
                </c:pt>
                <c:pt idx="2">
                  <c:v>Test</c:v>
                </c:pt>
                <c:pt idx="3">
                  <c:v>WPL</c:v>
                </c:pt>
              </c:strCache>
            </c:strRef>
          </c:cat>
          <c:val>
            <c:numRef>
              <c:f>Sheet1!$Q$37:$Q$41</c:f>
              <c:numCache>
                <c:formatCode>General</c:formatCode>
                <c:ptCount val="4"/>
                <c:pt idx="0">
                  <c:v>90.4</c:v>
                </c:pt>
                <c:pt idx="1">
                  <c:v>124.5</c:v>
                </c:pt>
                <c:pt idx="2">
                  <c:v>63.4</c:v>
                </c:pt>
                <c:pt idx="3">
                  <c:v>136.80000000000001</c:v>
                </c:pt>
              </c:numCache>
            </c:numRef>
          </c:val>
          <c:extLst>
            <c:ext xmlns:c16="http://schemas.microsoft.com/office/drawing/2014/chart" uri="{C3380CC4-5D6E-409C-BE32-E72D297353CC}">
              <c16:uniqueId val="{00000002-75AD-4390-AD09-85EE2C323B95}"/>
            </c:ext>
          </c:extLst>
        </c:ser>
        <c:dLbls>
          <c:dLblPos val="outEnd"/>
          <c:showLegendKey val="0"/>
          <c:showVal val="1"/>
          <c:showCatName val="0"/>
          <c:showSerName val="0"/>
          <c:showPercent val="0"/>
          <c:showBubbleSize val="0"/>
        </c:dLbls>
        <c:gapWidth val="444"/>
        <c:overlap val="-90"/>
        <c:axId val="366130144"/>
        <c:axId val="366133504"/>
      </c:barChart>
      <c:catAx>
        <c:axId val="36613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100" b="1" i="1">
                    <a:solidFill>
                      <a:schemeClr val="tx1"/>
                    </a:solidFill>
                  </a:rPr>
                  <a:t>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cap="all" spc="120" normalizeH="0" baseline="0">
                <a:solidFill>
                  <a:schemeClr val="tx1"/>
                </a:solidFill>
                <a:latin typeface="Aparajita" panose="02020603050405020304" pitchFamily="18" charset="0"/>
                <a:ea typeface="+mn-ea"/>
                <a:cs typeface="Aparajita" panose="02020603050405020304" pitchFamily="18" charset="0"/>
              </a:defRPr>
            </a:pPr>
            <a:endParaRPr lang="en-US"/>
          </a:p>
        </c:txPr>
        <c:crossAx val="366133504"/>
        <c:crosses val="autoZero"/>
        <c:auto val="1"/>
        <c:lblAlgn val="ctr"/>
        <c:lblOffset val="100"/>
        <c:noMultiLvlLbl val="0"/>
      </c:catAx>
      <c:valAx>
        <c:axId val="36613350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100" b="1" i="1">
                    <a:solidFill>
                      <a:schemeClr val="tx1"/>
                    </a:solidFill>
                    <a:latin typeface="Aparajita" panose="02020603050405020304" pitchFamily="18" charset="0"/>
                    <a:cs typeface="Aparajita" panose="02020603050405020304" pitchFamily="18" charset="0"/>
                  </a:rPr>
                  <a:t>RUNS</a:t>
                </a:r>
              </a:p>
            </c:rich>
          </c:tx>
          <c:layout>
            <c:manualLayout>
              <c:xMode val="edge"/>
              <c:yMode val="edge"/>
              <c:x val="1.9444444444444445E-2"/>
              <c:y val="0.3728430300379118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661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[srumuthi_mandannadashboard.xlsx]Sheet1!PivotTable8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Sheet1!$N$3:$N$7</c:f>
              <c:strCache>
                <c:ptCount val="4"/>
                <c:pt idx="0">
                  <c:v>ODI</c:v>
                </c:pt>
                <c:pt idx="1">
                  <c:v>T20I</c:v>
                </c:pt>
                <c:pt idx="2">
                  <c:v>Test</c:v>
                </c:pt>
                <c:pt idx="3">
                  <c:v>WPL</c:v>
                </c:pt>
              </c:strCache>
            </c:strRef>
          </c:cat>
          <c:val>
            <c:numRef>
              <c:f>Sheet1!$O$3:$O$7</c:f>
              <c:numCache>
                <c:formatCode>General</c:formatCode>
                <c:ptCount val="4"/>
                <c:pt idx="0">
                  <c:v>692</c:v>
                </c:pt>
                <c:pt idx="1">
                  <c:v>284</c:v>
                </c:pt>
                <c:pt idx="2">
                  <c:v>234</c:v>
                </c:pt>
                <c:pt idx="3">
                  <c:v>450</c:v>
                </c:pt>
              </c:numCache>
            </c:numRef>
          </c:val>
          <c:extLst>
            <c:ext xmlns:c16="http://schemas.microsoft.com/office/drawing/2014/chart" uri="{C3380CC4-5D6E-409C-BE32-E72D297353CC}">
              <c16:uniqueId val="{00000009-38ED-4BD3-A204-BB0390EB4BBB}"/>
            </c:ext>
          </c:extLst>
        </c:ser>
        <c:dLbls>
          <c:dLblPos val="outEnd"/>
          <c:showLegendKey val="0"/>
          <c:showVal val="1"/>
          <c:showCatName val="0"/>
          <c:showSerName val="0"/>
          <c:showPercent val="0"/>
          <c:showBubbleSize val="0"/>
        </c:dLbls>
        <c:gapWidth val="182"/>
        <c:axId val="437159120"/>
        <c:axId val="437167760"/>
      </c:barChart>
      <c:catAx>
        <c:axId val="43715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1">
                    <a:solidFill>
                      <a:schemeClr val="tx1"/>
                    </a:solidFill>
                    <a:latin typeface="Aparajita" panose="02020603050405020304" pitchFamily="18" charset="0"/>
                    <a:cs typeface="Aparajita" panose="02020603050405020304" pitchFamily="18" charset="0"/>
                  </a:rPr>
                  <a:t>FORMAT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437167760"/>
        <c:crosses val="autoZero"/>
        <c:auto val="1"/>
        <c:lblAlgn val="ctr"/>
        <c:lblOffset val="100"/>
        <c:noMultiLvlLbl val="0"/>
      </c:catAx>
      <c:valAx>
        <c:axId val="437167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1">
                    <a:solidFill>
                      <a:schemeClr val="tx1"/>
                    </a:solidFill>
                    <a:latin typeface="Aparajita" panose="02020603050405020304" pitchFamily="18" charset="0"/>
                    <a:cs typeface="Aparajita" panose="02020603050405020304" pitchFamily="18" charset="0"/>
                  </a:rPr>
                  <a:t>WINNING</a:t>
                </a:r>
                <a:r>
                  <a:rPr lang="en-IN" b="1" i="1" baseline="0">
                    <a:solidFill>
                      <a:schemeClr val="tx1"/>
                    </a:solidFill>
                    <a:latin typeface="Aparajita" panose="02020603050405020304" pitchFamily="18" charset="0"/>
                    <a:cs typeface="Aparajita" panose="02020603050405020304" pitchFamily="18" charset="0"/>
                  </a:rPr>
                  <a:t> MATCHES</a:t>
                </a:r>
                <a:endParaRPr lang="en-IN" b="1" i="1">
                  <a:solidFill>
                    <a:schemeClr val="tx1"/>
                  </a:solidFill>
                  <a:latin typeface="Aparajita" panose="02020603050405020304" pitchFamily="18" charset="0"/>
                  <a:cs typeface="Aparajita"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43715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[srumuthi_mandannadashboard.xlsx]Sheet1!PivotTable17</c:name>
    <c:fmtId val="6"/>
  </c:pivotSource>
  <c:chart>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15875" cap="rnd">
            <a:solidFill>
              <a:schemeClr val="accent2"/>
            </a:solidFill>
            <a:round/>
          </a:ln>
          <a:effectLst/>
        </c:spPr>
        <c:marker>
          <c:symbol val="circle"/>
          <c:size val="5"/>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Sheet1!$L$87</c:f>
              <c:strCache>
                <c:ptCount val="1"/>
                <c:pt idx="0">
                  <c:v>Sum of Balls</c:v>
                </c:pt>
              </c:strCache>
            </c:strRef>
          </c:tx>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Sheet1!$K$88:$K$92</c:f>
              <c:strCache>
                <c:ptCount val="4"/>
                <c:pt idx="0">
                  <c:v>ODI</c:v>
                </c:pt>
                <c:pt idx="1">
                  <c:v>T20I</c:v>
                </c:pt>
                <c:pt idx="2">
                  <c:v>Test</c:v>
                </c:pt>
                <c:pt idx="3">
                  <c:v>WPL</c:v>
                </c:pt>
              </c:strCache>
            </c:strRef>
          </c:cat>
          <c:val>
            <c:numRef>
              <c:f>Sheet1!$L$88:$L$92</c:f>
              <c:numCache>
                <c:formatCode>General</c:formatCode>
                <c:ptCount val="4"/>
                <c:pt idx="0">
                  <c:v>692</c:v>
                </c:pt>
                <c:pt idx="1">
                  <c:v>284</c:v>
                </c:pt>
                <c:pt idx="2">
                  <c:v>234</c:v>
                </c:pt>
                <c:pt idx="3">
                  <c:v>450</c:v>
                </c:pt>
              </c:numCache>
            </c:numRef>
          </c:val>
          <c:extLst>
            <c:ext xmlns:c16="http://schemas.microsoft.com/office/drawing/2014/chart" uri="{C3380CC4-5D6E-409C-BE32-E72D297353CC}">
              <c16:uniqueId val="{00000000-9A8A-4039-B001-7B0C698FD555}"/>
            </c:ext>
          </c:extLst>
        </c:ser>
        <c:dLbls>
          <c:dLblPos val="inEnd"/>
          <c:showLegendKey val="0"/>
          <c:showVal val="1"/>
          <c:showCatName val="0"/>
          <c:showSerName val="0"/>
          <c:showPercent val="0"/>
          <c:showBubbleSize val="0"/>
        </c:dLbls>
        <c:gapWidth val="150"/>
        <c:axId val="1200065744"/>
        <c:axId val="1200055664"/>
      </c:barChart>
      <c:lineChart>
        <c:grouping val="standard"/>
        <c:varyColors val="0"/>
        <c:ser>
          <c:idx val="1"/>
          <c:order val="1"/>
          <c:tx>
            <c:strRef>
              <c:f>Sheet1!$M$87</c:f>
              <c:strCache>
                <c:ptCount val="1"/>
                <c:pt idx="0">
                  <c:v>Sum of Runs</c:v>
                </c:pt>
              </c:strCache>
            </c:strRef>
          </c:tx>
          <c:spPr>
            <a:ln w="15875" cap="rnd">
              <a:solidFill>
                <a:schemeClr val="accent2">
                  <a:tint val="77000"/>
                </a:schemeClr>
              </a:solidFill>
              <a:round/>
            </a:ln>
            <a:effectLst/>
          </c:spPr>
          <c:marker>
            <c:symbol val="circle"/>
            <c:size val="5"/>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Sheet1!$K$88:$K$92</c:f>
              <c:strCache>
                <c:ptCount val="4"/>
                <c:pt idx="0">
                  <c:v>ODI</c:v>
                </c:pt>
                <c:pt idx="1">
                  <c:v>T20I</c:v>
                </c:pt>
                <c:pt idx="2">
                  <c:v>Test</c:v>
                </c:pt>
                <c:pt idx="3">
                  <c:v>WPL</c:v>
                </c:pt>
              </c:strCache>
            </c:strRef>
          </c:cat>
          <c:val>
            <c:numRef>
              <c:f>Sheet1!$M$88:$M$92</c:f>
              <c:numCache>
                <c:formatCode>General</c:formatCode>
                <c:ptCount val="4"/>
                <c:pt idx="0">
                  <c:v>598</c:v>
                </c:pt>
                <c:pt idx="1">
                  <c:v>378</c:v>
                </c:pt>
                <c:pt idx="2">
                  <c:v>149</c:v>
                </c:pt>
                <c:pt idx="3">
                  <c:v>656</c:v>
                </c:pt>
              </c:numCache>
            </c:numRef>
          </c:val>
          <c:smooth val="0"/>
          <c:extLst>
            <c:ext xmlns:c16="http://schemas.microsoft.com/office/drawing/2014/chart" uri="{C3380CC4-5D6E-409C-BE32-E72D297353CC}">
              <c16:uniqueId val="{00000001-9A8A-4039-B001-7B0C698FD555}"/>
            </c:ext>
          </c:extLst>
        </c:ser>
        <c:dLbls>
          <c:showLegendKey val="0"/>
          <c:showVal val="1"/>
          <c:showCatName val="0"/>
          <c:showSerName val="0"/>
          <c:showPercent val="0"/>
          <c:showBubbleSize val="0"/>
        </c:dLbls>
        <c:marker val="1"/>
        <c:smooth val="0"/>
        <c:axId val="1200065744"/>
        <c:axId val="1200055664"/>
      </c:lineChart>
      <c:catAx>
        <c:axId val="120006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200055664"/>
        <c:crosses val="autoZero"/>
        <c:auto val="1"/>
        <c:lblAlgn val="ctr"/>
        <c:lblOffset val="100"/>
        <c:noMultiLvlLbl val="0"/>
      </c:catAx>
      <c:valAx>
        <c:axId val="12000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2000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[srumuthi_mandannadashboard.xlsx]Sheet1!PivotTable18</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b="1" i="1" u="sng">
                <a:solidFill>
                  <a:srgbClr val="C00000"/>
                </a:solidFill>
                <a:latin typeface="Aparajita" panose="02020603050405020304" pitchFamily="18" charset="0"/>
                <a:cs typeface="Aparajita" panose="02020603050405020304" pitchFamily="18" charset="0"/>
              </a:rPr>
              <a:t>TOTAL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Sheet1!$H$102</c:f>
              <c:strCache>
                <c:ptCount val="1"/>
                <c:pt idx="0">
                  <c:v>Sum of 4s</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Sheet1!$G$103:$G$111</c:f>
              <c:strCache>
                <c:ptCount val="8"/>
                <c:pt idx="0">
                  <c:v>AUSW(Australia)</c:v>
                </c:pt>
                <c:pt idx="1">
                  <c:v>DCW(Delhi)</c:v>
                </c:pt>
                <c:pt idx="2">
                  <c:v>ENGW(England)</c:v>
                </c:pt>
                <c:pt idx="3">
                  <c:v>MIW(Mumbai)</c:v>
                </c:pt>
                <c:pt idx="4">
                  <c:v>NZW(New Zealand)</c:v>
                </c:pt>
                <c:pt idx="5">
                  <c:v>SAW(South Africa)</c:v>
                </c:pt>
                <c:pt idx="6">
                  <c:v>UPW(UP)</c:v>
                </c:pt>
                <c:pt idx="7">
                  <c:v>WIW(West Indies)</c:v>
                </c:pt>
              </c:strCache>
            </c:strRef>
          </c:cat>
          <c:val>
            <c:numRef>
              <c:f>Sheet1!$H$103:$H$111</c:f>
              <c:numCache>
                <c:formatCode>General</c:formatCode>
                <c:ptCount val="8"/>
                <c:pt idx="0">
                  <c:v>39</c:v>
                </c:pt>
                <c:pt idx="1">
                  <c:v>48</c:v>
                </c:pt>
                <c:pt idx="2">
                  <c:v>40</c:v>
                </c:pt>
                <c:pt idx="3">
                  <c:v>43</c:v>
                </c:pt>
                <c:pt idx="4">
                  <c:v>26</c:v>
                </c:pt>
                <c:pt idx="5">
                  <c:v>27</c:v>
                </c:pt>
                <c:pt idx="6">
                  <c:v>8</c:v>
                </c:pt>
                <c:pt idx="7">
                  <c:v>10</c:v>
                </c:pt>
              </c:numCache>
            </c:numRef>
          </c:val>
          <c:extLst>
            <c:ext xmlns:c16="http://schemas.microsoft.com/office/drawing/2014/chart" uri="{C3380CC4-5D6E-409C-BE32-E72D297353CC}">
              <c16:uniqueId val="{00000000-08F0-46C5-8670-22F2D64091C7}"/>
            </c:ext>
          </c:extLst>
        </c:ser>
        <c:ser>
          <c:idx val="1"/>
          <c:order val="1"/>
          <c:tx>
            <c:strRef>
              <c:f>Sheet1!$I$102</c:f>
              <c:strCache>
                <c:ptCount val="1"/>
                <c:pt idx="0">
                  <c:v>Sum of 6s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Sheet1!$G$103:$G$111</c:f>
              <c:strCache>
                <c:ptCount val="8"/>
                <c:pt idx="0">
                  <c:v>AUSW(Australia)</c:v>
                </c:pt>
                <c:pt idx="1">
                  <c:v>DCW(Delhi)</c:v>
                </c:pt>
                <c:pt idx="2">
                  <c:v>ENGW(England)</c:v>
                </c:pt>
                <c:pt idx="3">
                  <c:v>MIW(Mumbai)</c:v>
                </c:pt>
                <c:pt idx="4">
                  <c:v>NZW(New Zealand)</c:v>
                </c:pt>
                <c:pt idx="5">
                  <c:v>SAW(South Africa)</c:v>
                </c:pt>
                <c:pt idx="6">
                  <c:v>UPW(UP)</c:v>
                </c:pt>
                <c:pt idx="7">
                  <c:v>WIW(West Indies)</c:v>
                </c:pt>
              </c:strCache>
            </c:strRef>
          </c:cat>
          <c:val>
            <c:numRef>
              <c:f>Sheet1!$I$103:$I$111</c:f>
              <c:numCache>
                <c:formatCode>General</c:formatCode>
                <c:ptCount val="8"/>
                <c:pt idx="0">
                  <c:v>5</c:v>
                </c:pt>
                <c:pt idx="1">
                  <c:v>11</c:v>
                </c:pt>
                <c:pt idx="2">
                  <c:v>7</c:v>
                </c:pt>
                <c:pt idx="3">
                  <c:v>8</c:v>
                </c:pt>
                <c:pt idx="4">
                  <c:v>2</c:v>
                </c:pt>
                <c:pt idx="5">
                  <c:v>2</c:v>
                </c:pt>
                <c:pt idx="6">
                  <c:v>2</c:v>
                </c:pt>
                <c:pt idx="7">
                  <c:v>2</c:v>
                </c:pt>
              </c:numCache>
            </c:numRef>
          </c:val>
          <c:extLst>
            <c:ext xmlns:c16="http://schemas.microsoft.com/office/drawing/2014/chart" uri="{C3380CC4-5D6E-409C-BE32-E72D297353CC}">
              <c16:uniqueId val="{00000001-08F0-46C5-8670-22F2D64091C7}"/>
            </c:ext>
          </c:extLst>
        </c:ser>
        <c:ser>
          <c:idx val="2"/>
          <c:order val="2"/>
          <c:tx>
            <c:strRef>
              <c:f>Sheet1!$J$102</c:f>
              <c:strCache>
                <c:ptCount val="1"/>
                <c:pt idx="0">
                  <c:v>Count of Result</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Sheet1!$G$103:$G$111</c:f>
              <c:strCache>
                <c:ptCount val="8"/>
                <c:pt idx="0">
                  <c:v>AUSW(Australia)</c:v>
                </c:pt>
                <c:pt idx="1">
                  <c:v>DCW(Delhi)</c:v>
                </c:pt>
                <c:pt idx="2">
                  <c:v>ENGW(England)</c:v>
                </c:pt>
                <c:pt idx="3">
                  <c:v>MIW(Mumbai)</c:v>
                </c:pt>
                <c:pt idx="4">
                  <c:v>NZW(New Zealand)</c:v>
                </c:pt>
                <c:pt idx="5">
                  <c:v>SAW(South Africa)</c:v>
                </c:pt>
                <c:pt idx="6">
                  <c:v>UPW(UP)</c:v>
                </c:pt>
                <c:pt idx="7">
                  <c:v>WIW(West Indies)</c:v>
                </c:pt>
              </c:strCache>
            </c:strRef>
          </c:cat>
          <c:val>
            <c:numRef>
              <c:f>Sheet1!$J$103:$J$111</c:f>
              <c:numCache>
                <c:formatCode>General</c:formatCode>
                <c:ptCount val="8"/>
                <c:pt idx="0">
                  <c:v>7</c:v>
                </c:pt>
                <c:pt idx="1">
                  <c:v>4</c:v>
                </c:pt>
                <c:pt idx="2">
                  <c:v>4</c:v>
                </c:pt>
                <c:pt idx="3">
                  <c:v>5</c:v>
                </c:pt>
                <c:pt idx="4">
                  <c:v>2</c:v>
                </c:pt>
                <c:pt idx="5">
                  <c:v>2</c:v>
                </c:pt>
                <c:pt idx="6">
                  <c:v>1</c:v>
                </c:pt>
                <c:pt idx="7">
                  <c:v>1</c:v>
                </c:pt>
              </c:numCache>
            </c:numRef>
          </c:val>
          <c:extLst>
            <c:ext xmlns:c16="http://schemas.microsoft.com/office/drawing/2014/chart" uri="{C3380CC4-5D6E-409C-BE32-E72D297353CC}">
              <c16:uniqueId val="{00000002-08F0-46C5-8670-22F2D64091C7}"/>
            </c:ext>
          </c:extLst>
        </c:ser>
        <c:dLbls>
          <c:dLblPos val="ctr"/>
          <c:showLegendKey val="0"/>
          <c:showVal val="1"/>
          <c:showCatName val="0"/>
          <c:showSerName val="0"/>
          <c:showPercent val="0"/>
          <c:showBubbleSize val="0"/>
        </c:dLbls>
        <c:gapWidth val="79"/>
        <c:overlap val="100"/>
        <c:axId val="1362628096"/>
        <c:axId val="1362630016"/>
      </c:barChart>
      <c:catAx>
        <c:axId val="1362628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i="1">
                    <a:solidFill>
                      <a:schemeClr val="tx1"/>
                    </a:solidFill>
                    <a:latin typeface="Aparajita" panose="02020603050405020304" pitchFamily="18" charset="0"/>
                    <a:cs typeface="Aparajita" panose="02020603050405020304" pitchFamily="18" charset="0"/>
                  </a:rPr>
                  <a:t>OPPONENT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cap="all" spc="120" normalizeH="0" baseline="0">
                <a:solidFill>
                  <a:schemeClr val="tx1"/>
                </a:solidFill>
                <a:latin typeface="Aparajita" panose="02020603050405020304" pitchFamily="18" charset="0"/>
                <a:ea typeface="+mn-ea"/>
                <a:cs typeface="Aparajita" panose="02020603050405020304" pitchFamily="18" charset="0"/>
              </a:defRPr>
            </a:pPr>
            <a:endParaRPr lang="en-US"/>
          </a:p>
        </c:txPr>
        <c:crossAx val="1362630016"/>
        <c:crosses val="autoZero"/>
        <c:auto val="1"/>
        <c:lblAlgn val="ctr"/>
        <c:lblOffset val="100"/>
        <c:noMultiLvlLbl val="0"/>
      </c:catAx>
      <c:valAx>
        <c:axId val="1362630016"/>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i="1">
                    <a:solidFill>
                      <a:schemeClr val="tx1"/>
                    </a:solidFill>
                    <a:latin typeface="Aparajita" panose="02020603050405020304" pitchFamily="18" charset="0"/>
                    <a:cs typeface="Aparajita" panose="02020603050405020304" pitchFamily="18" charset="0"/>
                  </a:rPr>
                  <a:t>RUNS</a:t>
                </a:r>
              </a:p>
            </c:rich>
          </c:tx>
          <c:layout>
            <c:manualLayout>
              <c:xMode val="edge"/>
              <c:yMode val="edge"/>
              <c:x val="0.57454724409448821"/>
              <c:y val="0.9028470399533391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262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[srumuthi_mandannadashboard.xlsx]Sheet1!PivotTable15</c:name>
    <c:fmtId val="13"/>
  </c:pivotSource>
  <c:chart>
    <c:title>
      <c:tx>
        <c:rich>
          <a:bodyPr rot="0" spcFirstLastPara="1" vertOverflow="ellipsis" vert="horz" wrap="square" anchor="ctr" anchorCtr="1"/>
          <a:lstStyle/>
          <a:p>
            <a:pPr>
              <a:defRPr sz="1400" b="1" i="1" u="sng" strike="noStrike" kern="1200" spc="0" baseline="0">
                <a:solidFill>
                  <a:srgbClr val="C00000"/>
                </a:solidFill>
                <a:latin typeface="Aparajita" panose="02020603050405020304" pitchFamily="18" charset="0"/>
                <a:ea typeface="+mn-ea"/>
                <a:cs typeface="Aparajita" panose="02020603050405020304" pitchFamily="18" charset="0"/>
              </a:defRPr>
            </a:pPr>
            <a:r>
              <a:rPr lang="en-IN" b="1" i="1" u="sng">
                <a:solidFill>
                  <a:srgbClr val="C00000"/>
                </a:solidFill>
                <a:latin typeface="Aparajita" panose="02020603050405020304" pitchFamily="18" charset="0"/>
                <a:cs typeface="Aparajita" panose="02020603050405020304" pitchFamily="18" charset="0"/>
              </a:rPr>
              <a:t>Avg Strike Rate</a:t>
            </a:r>
          </a:p>
        </c:rich>
      </c:tx>
      <c:layout>
        <c:manualLayout>
          <c:xMode val="edge"/>
          <c:yMode val="edge"/>
          <c:x val="0.33884719534693497"/>
          <c:y val="0.10083105199981915"/>
        </c:manualLayout>
      </c:layout>
      <c:overlay val="0"/>
      <c:spPr>
        <a:noFill/>
        <a:ln>
          <a:noFill/>
        </a:ln>
        <a:effectLst/>
      </c:spPr>
      <c:txPr>
        <a:bodyPr rot="0" spcFirstLastPara="1" vertOverflow="ellipsis" vert="horz" wrap="square" anchor="ctr" anchorCtr="1"/>
        <a:lstStyle/>
        <a:p>
          <a:pPr>
            <a:defRPr sz="1400" b="1" i="1" u="sng" strike="noStrike" kern="1200" spc="0" baseline="0">
              <a:solidFill>
                <a:srgbClr val="C00000"/>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
        <c:idx val="11"/>
        <c:spPr>
          <a:solidFill>
            <a:schemeClr val="accent2"/>
          </a:solidFill>
          <a:ln w="19050">
            <a:solidFill>
              <a:schemeClr val="lt1"/>
            </a:solidFill>
          </a:ln>
          <a:effectLst/>
        </c:spPr>
      </c:pivotFmt>
    </c:pivotFmts>
    <c:plotArea>
      <c:layout/>
      <c:pieChart>
        <c:varyColors val="1"/>
        <c:ser>
          <c:idx val="0"/>
          <c:order val="0"/>
          <c:tx>
            <c:strRef>
              <c:f>Sheet1!$U$44</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D8BD-4968-9C6E-EB9EE1194059}"/>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D8BD-4968-9C6E-EB9EE1194059}"/>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D8BD-4968-9C6E-EB9EE1194059}"/>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D8BD-4968-9C6E-EB9EE11940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Sheet1!$T$45:$T$49</c:f>
              <c:strCache>
                <c:ptCount val="4"/>
                <c:pt idx="0">
                  <c:v>ODI</c:v>
                </c:pt>
                <c:pt idx="1">
                  <c:v>T20I</c:v>
                </c:pt>
                <c:pt idx="2">
                  <c:v>Test</c:v>
                </c:pt>
                <c:pt idx="3">
                  <c:v>WPL</c:v>
                </c:pt>
              </c:strCache>
            </c:strRef>
          </c:cat>
          <c:val>
            <c:numRef>
              <c:f>Sheet1!$U$45:$U$49</c:f>
              <c:numCache>
                <c:formatCode>General</c:formatCode>
                <c:ptCount val="4"/>
                <c:pt idx="0">
                  <c:v>75.5</c:v>
                </c:pt>
                <c:pt idx="1">
                  <c:v>133.14285714285717</c:v>
                </c:pt>
                <c:pt idx="2">
                  <c:v>63.6</c:v>
                </c:pt>
                <c:pt idx="3">
                  <c:v>154.63999999999999</c:v>
                </c:pt>
              </c:numCache>
            </c:numRef>
          </c:val>
          <c:extLst>
            <c:ext xmlns:c16="http://schemas.microsoft.com/office/drawing/2014/chart" uri="{C3380CC4-5D6E-409C-BE32-E72D297353CC}">
              <c16:uniqueId val="{00000008-D8BD-4968-9C6E-EB9EE119405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c:name>
    <c:fmtId val="17"/>
  </c:pivotSource>
  <c:chart>
    <c:title>
      <c:tx>
        <c:rich>
          <a:bodyPr rot="0" spcFirstLastPara="1" vertOverflow="ellipsis" vert="horz" wrap="square" anchor="ctr" anchorCtr="1"/>
          <a:lstStyle/>
          <a:p>
            <a:pPr>
              <a:defRPr sz="1800" b="1" i="1" u="sng" strike="noStrike" kern="1200" baseline="0">
                <a:solidFill>
                  <a:srgbClr val="C00000"/>
                </a:solidFill>
                <a:latin typeface="Aparajita" panose="02020603050405020304" pitchFamily="18" charset="0"/>
                <a:ea typeface="+mn-ea"/>
                <a:cs typeface="Aparajita" panose="02020603050405020304" pitchFamily="18" charset="0"/>
              </a:defRPr>
            </a:pPr>
            <a:r>
              <a:rPr lang="en-US" b="1" i="1" u="sng">
                <a:solidFill>
                  <a:srgbClr val="C00000"/>
                </a:solidFill>
                <a:latin typeface="Aparajita" panose="02020603050405020304" pitchFamily="18" charset="0"/>
                <a:cs typeface="Aparajita" panose="02020603050405020304" pitchFamily="18" charset="0"/>
              </a:rPr>
              <a:t>Total Awards</a:t>
            </a:r>
          </a:p>
        </c:rich>
      </c:tx>
      <c:layout>
        <c:manualLayout>
          <c:xMode val="edge"/>
          <c:yMode val="edge"/>
          <c:x val="0.3471874453193351"/>
          <c:y val="9.6201516477107021E-2"/>
        </c:manualLayout>
      </c:layout>
      <c:overlay val="0"/>
      <c:spPr>
        <a:noFill/>
        <a:ln>
          <a:noFill/>
        </a:ln>
        <a:effectLst/>
      </c:spPr>
      <c:txPr>
        <a:bodyPr rot="0" spcFirstLastPara="1" vertOverflow="ellipsis" vert="horz" wrap="square" anchor="ctr" anchorCtr="1"/>
        <a:lstStyle/>
        <a:p>
          <a:pPr>
            <a:defRPr sz="1800" b="1" i="1" u="sng" strike="noStrike" kern="1200" baseline="0">
              <a:solidFill>
                <a:srgbClr val="C00000"/>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hade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tint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tint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hade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shade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2">
              <a:shade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2">
              <a:tint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2">
              <a:tint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2"/>
          </a:solidFill>
          <a:ln>
            <a:noFill/>
          </a:ln>
          <a:effectLst>
            <a:outerShdw blurRad="254000" sx="102000" sy="102000" algn="ctr" rotWithShape="0">
              <a:prstClr val="black">
                <a:alpha val="20000"/>
              </a:prstClr>
            </a:outerShdw>
          </a:effectLst>
          <a:sp3d/>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2">
              <a:shade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2">
              <a:shade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2">
              <a:tint val="86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2">
              <a:tint val="58000"/>
            </a:schemeClr>
          </a:solidFill>
          <a:ln>
            <a:noFill/>
          </a:ln>
          <a:effectLst>
            <a:outerShdw blurRad="254000" sx="102000" sy="102000" algn="ctr" rotWithShape="0">
              <a:prstClr val="black">
                <a:alpha val="20000"/>
              </a:prstClr>
            </a:outerShdw>
          </a:effectLst>
          <a:sp3d/>
        </c:spP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11354016456449"/>
          <c:y val="0.29668480518437468"/>
          <c:w val="0.62742882407871792"/>
          <c:h val="0.52554577478472564"/>
        </c:manualLayout>
      </c:layout>
      <c:pie3DChart>
        <c:varyColors val="1"/>
        <c:ser>
          <c:idx val="0"/>
          <c:order val="0"/>
          <c:tx>
            <c:strRef>
              <c:f>Sheet1!$B$3</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047-428D-BE82-DD07545F4F93}"/>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047-428D-BE82-DD07545F4F93}"/>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047-428D-BE82-DD07545F4F93}"/>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047-428D-BE82-DD07545F4F93}"/>
              </c:ext>
            </c:extLst>
          </c:dPt>
          <c:dLbls>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5047-428D-BE82-DD07545F4F93}"/>
                </c:ext>
              </c:extLst>
            </c:dLbl>
            <c:dLbl>
              <c:idx val="1"/>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5047-428D-BE82-DD07545F4F93}"/>
                </c:ext>
              </c:extLst>
            </c:dLbl>
            <c:dLbl>
              <c:idx val="2"/>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5047-428D-BE82-DD07545F4F93}"/>
                </c:ext>
              </c:extLst>
            </c:dLbl>
            <c:dLbl>
              <c:idx val="3"/>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5047-428D-BE82-DD07545F4F93}"/>
                </c:ext>
              </c:extLst>
            </c:dLbl>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Sheet1!$A$4:$A$8</c:f>
              <c:strCache>
                <c:ptCount val="4"/>
                <c:pt idx="0">
                  <c:v>ODI</c:v>
                </c:pt>
                <c:pt idx="1">
                  <c:v>T20I</c:v>
                </c:pt>
                <c:pt idx="2">
                  <c:v>Test</c:v>
                </c:pt>
                <c:pt idx="3">
                  <c:v>WPL</c:v>
                </c:pt>
              </c:strCache>
            </c:strRef>
          </c:cat>
          <c:val>
            <c:numRef>
              <c:f>Sheet1!$B$4:$B$8</c:f>
              <c:numCache>
                <c:formatCode>General</c:formatCode>
                <c:ptCount val="4"/>
                <c:pt idx="0">
                  <c:v>8</c:v>
                </c:pt>
                <c:pt idx="1">
                  <c:v>7</c:v>
                </c:pt>
                <c:pt idx="2">
                  <c:v>1</c:v>
                </c:pt>
                <c:pt idx="3">
                  <c:v>10</c:v>
                </c:pt>
              </c:numCache>
            </c:numRef>
          </c:val>
          <c:extLst>
            <c:ext xmlns:c16="http://schemas.microsoft.com/office/drawing/2014/chart" uri="{C3380CC4-5D6E-409C-BE32-E72D297353CC}">
              <c16:uniqueId val="{00000008-5047-428D-BE82-DD07545F4F93}"/>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[srumuthi_mandannadashboard.xlsx]Sheet1!PivotTable16</c:name>
    <c:fmtId val="11"/>
  </c:pivotSource>
  <c:chart>
    <c:title>
      <c:tx>
        <c:rich>
          <a:bodyPr rot="0" spcFirstLastPara="1" vertOverflow="ellipsis" vert="horz" wrap="square" anchor="ctr" anchorCtr="1"/>
          <a:lstStyle/>
          <a:p>
            <a:pPr>
              <a:defRPr sz="1600" b="1" i="1" u="sng" strike="noStrike" kern="1200" baseline="0">
                <a:solidFill>
                  <a:srgbClr val="C00000"/>
                </a:solidFill>
                <a:latin typeface="Aparajita" panose="02020603050405020304" pitchFamily="18" charset="0"/>
                <a:ea typeface="+mn-ea"/>
                <a:cs typeface="Aparajita" panose="02020603050405020304" pitchFamily="18" charset="0"/>
              </a:defRPr>
            </a:pPr>
            <a:r>
              <a:rPr lang="en-US" sz="1600" b="1" i="1" u="sng">
                <a:solidFill>
                  <a:srgbClr val="C00000"/>
                </a:solidFill>
                <a:latin typeface="Aparajita" panose="02020603050405020304" pitchFamily="18" charset="0"/>
                <a:cs typeface="Aparajita" panose="02020603050405020304" pitchFamily="18" charset="0"/>
              </a:rPr>
              <a:t>Winning Matches</a:t>
            </a:r>
          </a:p>
        </c:rich>
      </c:tx>
      <c:layout>
        <c:manualLayout>
          <c:xMode val="edge"/>
          <c:yMode val="edge"/>
          <c:x val="0.56596522309711284"/>
          <c:y val="0.11934966462525518"/>
        </c:manualLayout>
      </c:layout>
      <c:overlay val="0"/>
      <c:spPr>
        <a:noFill/>
        <a:ln>
          <a:noFill/>
        </a:ln>
        <a:effectLst/>
      </c:spPr>
      <c:txPr>
        <a:bodyPr rot="0" spcFirstLastPara="1" vertOverflow="ellipsis" vert="horz" wrap="square" anchor="ctr" anchorCtr="1"/>
        <a:lstStyle/>
        <a:p>
          <a:pPr>
            <a:defRPr sz="1600" b="1" i="1" u="sng" strike="noStrike" kern="1200" baseline="0">
              <a:solidFill>
                <a:srgbClr val="C00000"/>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tint val="58000"/>
            </a:schemeClr>
          </a:solidFill>
          <a:ln>
            <a:noFill/>
          </a:ln>
          <a:effectLst>
            <a:outerShdw blurRad="254000" sx="102000" sy="102000" algn="ctr" rotWithShape="0">
              <a:prstClr val="black">
                <a:alpha val="20000"/>
              </a:prstClr>
            </a:outerShdw>
          </a:effectLst>
        </c:spPr>
      </c:pivotFmt>
      <c:pivotFmt>
        <c:idx val="2"/>
        <c:spPr>
          <a:solidFill>
            <a:schemeClr val="accent2">
              <a:shade val="58000"/>
            </a:schemeClr>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2">
              <a:shade val="58000"/>
            </a:schemeClr>
          </a:solidFill>
          <a:ln>
            <a:noFill/>
          </a:ln>
          <a:effectLst>
            <a:outerShdw blurRad="254000" sx="102000" sy="102000" algn="ctr" rotWithShape="0">
              <a:prstClr val="black">
                <a:alpha val="20000"/>
              </a:prstClr>
            </a:outerShdw>
          </a:effectLst>
        </c:spPr>
      </c:pivotFmt>
      <c:pivotFmt>
        <c:idx val="5"/>
        <c:spPr>
          <a:solidFill>
            <a:schemeClr val="accent2">
              <a:shade val="86000"/>
            </a:schemeClr>
          </a:solidFill>
          <a:ln>
            <a:noFill/>
          </a:ln>
          <a:effectLst>
            <a:outerShdw blurRad="254000" sx="102000" sy="102000" algn="ctr" rotWithShape="0">
              <a:prstClr val="black">
                <a:alpha val="20000"/>
              </a:prstClr>
            </a:outerShdw>
          </a:effectLst>
        </c:spPr>
      </c:pivotFmt>
      <c:pivotFmt>
        <c:idx val="6"/>
        <c:spPr>
          <a:solidFill>
            <a:schemeClr val="accent2">
              <a:tint val="86000"/>
            </a:schemeClr>
          </a:solidFill>
          <a:ln>
            <a:noFill/>
          </a:ln>
          <a:effectLst>
            <a:outerShdw blurRad="254000" sx="102000" sy="102000" algn="ctr" rotWithShape="0">
              <a:prstClr val="black">
                <a:alpha val="20000"/>
              </a:prstClr>
            </a:outerShdw>
          </a:effectLst>
        </c:spPr>
      </c:pivotFmt>
      <c:pivotFmt>
        <c:idx val="7"/>
        <c:spPr>
          <a:solidFill>
            <a:schemeClr val="accent2">
              <a:tint val="58000"/>
            </a:schemeClr>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2">
              <a:shade val="58000"/>
            </a:schemeClr>
          </a:solidFill>
          <a:ln>
            <a:noFill/>
          </a:ln>
          <a:effectLst>
            <a:outerShdw blurRad="254000" sx="102000" sy="102000" algn="ctr" rotWithShape="0">
              <a:prstClr val="black">
                <a:alpha val="20000"/>
              </a:prstClr>
            </a:outerShdw>
          </a:effectLst>
        </c:spPr>
      </c:pivotFmt>
      <c:pivotFmt>
        <c:idx val="10"/>
        <c:spPr>
          <a:solidFill>
            <a:schemeClr val="accent2">
              <a:shade val="86000"/>
            </a:schemeClr>
          </a:solidFill>
          <a:ln>
            <a:noFill/>
          </a:ln>
          <a:effectLst>
            <a:outerShdw blurRad="254000" sx="102000" sy="102000" algn="ctr" rotWithShape="0">
              <a:prstClr val="black">
                <a:alpha val="20000"/>
              </a:prstClr>
            </a:outerShdw>
          </a:effectLst>
        </c:spPr>
      </c:pivotFmt>
      <c:pivotFmt>
        <c:idx val="11"/>
        <c:spPr>
          <a:solidFill>
            <a:schemeClr val="accent2">
              <a:tint val="86000"/>
            </a:schemeClr>
          </a:solidFill>
          <a:ln>
            <a:noFill/>
          </a:ln>
          <a:effectLst>
            <a:outerShdw blurRad="254000" sx="102000" sy="102000" algn="ctr" rotWithShape="0">
              <a:prstClr val="black">
                <a:alpha val="20000"/>
              </a:prstClr>
            </a:outerShdw>
          </a:effectLst>
        </c:spPr>
      </c:pivotFmt>
      <c:pivotFmt>
        <c:idx val="12"/>
        <c:spPr>
          <a:solidFill>
            <a:schemeClr val="accent2">
              <a:tint val="58000"/>
            </a:schemeClr>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723643919510054"/>
          <c:y val="0.26889982502187221"/>
          <c:w val="0.34052734033245846"/>
          <c:h val="0.5675455672207641"/>
        </c:manualLayout>
      </c:layout>
      <c:doughnutChart>
        <c:varyColors val="1"/>
        <c:ser>
          <c:idx val="0"/>
          <c:order val="0"/>
          <c:tx>
            <c:strRef>
              <c:f>Sheet1!$B$76</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38-414D-BB11-D5245D4C1D7C}"/>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38-414D-BB11-D5245D4C1D7C}"/>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38-414D-BB11-D5245D4C1D7C}"/>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638-414D-BB11-D5245D4C1D7C}"/>
              </c:ext>
            </c:extLst>
          </c:dPt>
          <c:dLbls>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Sheet1!$A$77:$A$81</c:f>
              <c:strCache>
                <c:ptCount val="4"/>
                <c:pt idx="0">
                  <c:v>ODI</c:v>
                </c:pt>
                <c:pt idx="1">
                  <c:v>T20I</c:v>
                </c:pt>
                <c:pt idx="2">
                  <c:v>Test</c:v>
                </c:pt>
                <c:pt idx="3">
                  <c:v>WPL</c:v>
                </c:pt>
              </c:strCache>
            </c:strRef>
          </c:cat>
          <c:val>
            <c:numRef>
              <c:f>Sheet1!$B$77:$B$81</c:f>
              <c:numCache>
                <c:formatCode>General</c:formatCode>
                <c:ptCount val="4"/>
                <c:pt idx="0">
                  <c:v>8</c:v>
                </c:pt>
                <c:pt idx="1">
                  <c:v>7</c:v>
                </c:pt>
                <c:pt idx="2">
                  <c:v>1</c:v>
                </c:pt>
                <c:pt idx="3">
                  <c:v>10</c:v>
                </c:pt>
              </c:numCache>
            </c:numRef>
          </c:val>
          <c:extLst>
            <c:ext xmlns:c16="http://schemas.microsoft.com/office/drawing/2014/chart" uri="{C3380CC4-5D6E-409C-BE32-E72D297353CC}">
              <c16:uniqueId val="{00000008-0638-414D-BB11-D5245D4C1D7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[srumuthi_mandannadashboard.xlsx]Sheet1!PivotTable4</c:name>
    <c:fmtId val="19"/>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b="1" i="1" u="sng">
                <a:solidFill>
                  <a:srgbClr val="C00000"/>
                </a:solidFill>
                <a:latin typeface="Aparajita" panose="02020603050405020304" pitchFamily="18" charset="0"/>
                <a:cs typeface="Aparajita" panose="02020603050405020304" pitchFamily="18" charset="0"/>
              </a:rPr>
              <a:t>Trend analysis of runs</a:t>
            </a:r>
          </a:p>
        </c:rich>
      </c:tx>
      <c:layout>
        <c:manualLayout>
          <c:xMode val="edge"/>
          <c:yMode val="edge"/>
          <c:x val="0.2810067804024497"/>
          <c:y val="0.12397929425488481"/>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2275331817423"/>
          <c:y val="0.22400391686077115"/>
          <c:w val="0.68321227074609159"/>
          <c:h val="0.53875105443507909"/>
        </c:manualLayout>
      </c:layout>
      <c:lineChart>
        <c:grouping val="standard"/>
        <c:varyColors val="0"/>
        <c:ser>
          <c:idx val="0"/>
          <c:order val="0"/>
          <c:tx>
            <c:strRef>
              <c:f>Sheet1!$B$21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Sheet1!$A$22:$A$27</c:f>
              <c:strCache>
                <c:ptCount val="5"/>
                <c:pt idx="0">
                  <c:v>2022</c:v>
                </c:pt>
                <c:pt idx="1">
                  <c:v>2023</c:v>
                </c:pt>
                <c:pt idx="2">
                  <c:v>2024</c:v>
                </c:pt>
                <c:pt idx="3">
                  <c:v>2025</c:v>
                </c:pt>
                <c:pt idx="4">
                  <c:v>2026</c:v>
                </c:pt>
              </c:strCache>
            </c:strRef>
          </c:cat>
          <c:val>
            <c:numRef>
              <c:f>Sheet1!$B$22:$B$27</c:f>
              <c:numCache>
                <c:formatCode>General</c:formatCode>
                <c:ptCount val="5"/>
                <c:pt idx="0">
                  <c:v>262</c:v>
                </c:pt>
                <c:pt idx="1">
                  <c:v>629</c:v>
                </c:pt>
                <c:pt idx="2">
                  <c:v>382</c:v>
                </c:pt>
                <c:pt idx="3">
                  <c:v>117</c:v>
                </c:pt>
                <c:pt idx="4">
                  <c:v>391</c:v>
                </c:pt>
              </c:numCache>
            </c:numRef>
          </c:val>
          <c:smooth val="0"/>
          <c:extLst>
            <c:ext xmlns:c16="http://schemas.microsoft.com/office/drawing/2014/chart" uri="{C3380CC4-5D6E-409C-BE32-E72D297353CC}">
              <c16:uniqueId val="{00000000-6F4D-42CD-93FD-4A2813AA3C2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18013136"/>
        <c:axId val="418013616"/>
      </c:lineChart>
      <c:catAx>
        <c:axId val="4180131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r>
                  <a:rPr lang="en-IN" sz="1000" i="1">
                    <a:latin typeface="Aparajita" panose="02020603050405020304" pitchFamily="18" charset="0"/>
                    <a:cs typeface="Aparajita" panose="02020603050405020304" pitchFamily="18" charset="0"/>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dk1"/>
                </a:solidFill>
                <a:latin typeface="+mn-lt"/>
                <a:ea typeface="+mn-ea"/>
                <a:cs typeface="+mn-cs"/>
              </a:defRPr>
            </a:pPr>
            <a:endParaRPr lang="en-US"/>
          </a:p>
        </c:txPr>
        <c:crossAx val="418013616"/>
        <c:crosses val="autoZero"/>
        <c:auto val="1"/>
        <c:lblAlgn val="ctr"/>
        <c:lblOffset val="100"/>
        <c:noMultiLvlLbl val="0"/>
      </c:catAx>
      <c:valAx>
        <c:axId val="418013616"/>
        <c:scaling>
          <c:orientation val="minMax"/>
        </c:scaling>
        <c:delete val="0"/>
        <c:axPos val="l"/>
        <c:title>
          <c:tx>
            <c:rich>
              <a:bodyPr rot="-5400000" spcFirstLastPara="1" vertOverflow="ellipsis" vert="horz" wrap="square" anchor="ctr" anchorCtr="1"/>
              <a:lstStyle/>
              <a:p>
                <a:pPr>
                  <a:defRPr sz="1000" b="1" i="1" u="none" strike="noStrike" kern="1200" baseline="0">
                    <a:solidFill>
                      <a:schemeClr val="dk1"/>
                    </a:solidFill>
                    <a:latin typeface="Aparajita" panose="02020603050405020304" pitchFamily="18" charset="0"/>
                    <a:ea typeface="+mn-ea"/>
                    <a:cs typeface="Aparajita" panose="02020603050405020304" pitchFamily="18" charset="0"/>
                  </a:defRPr>
                </a:pPr>
                <a:r>
                  <a:rPr lang="en-IN" sz="1000" i="1">
                    <a:latin typeface="Aparajita" panose="02020603050405020304" pitchFamily="18" charset="0"/>
                    <a:cs typeface="Aparajita" panose="02020603050405020304" pitchFamily="18" charset="0"/>
                  </a:rPr>
                  <a:t>RUNS</a:t>
                </a:r>
              </a:p>
            </c:rich>
          </c:tx>
          <c:layout>
            <c:manualLayout>
              <c:xMode val="edge"/>
              <c:yMode val="edge"/>
              <c:x val="3.0555555555555555E-2"/>
              <c:y val="0.42126567512394286"/>
            </c:manualLayout>
          </c:layout>
          <c:overlay val="0"/>
          <c:spPr>
            <a:noFill/>
            <a:ln>
              <a:noFill/>
            </a:ln>
            <a:effectLst/>
          </c:spPr>
          <c:txPr>
            <a:bodyPr rot="-5400000" spcFirstLastPara="1" vertOverflow="ellipsis" vert="horz" wrap="square" anchor="ctr" anchorCtr="1"/>
            <a:lstStyle/>
            <a:p>
              <a:pPr>
                <a:defRPr sz="1000" b="1" i="1" u="none" strike="noStrike" kern="1200" baseline="0">
                  <a:solidFill>
                    <a:schemeClr val="dk1"/>
                  </a:solidFill>
                  <a:latin typeface="Aparajita" panose="02020603050405020304" pitchFamily="18" charset="0"/>
                  <a:ea typeface="+mn-ea"/>
                  <a:cs typeface="Aparajita"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80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[srumuthi_mandannadashboard.xlsx]Sheet1!PivotTable12</c:name>
    <c:fmtId val="11"/>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78648862427231E-2"/>
          <c:y val="0.16611161561712653"/>
          <c:w val="0.54097384124289338"/>
          <c:h val="0.54188634633910637"/>
        </c:manualLayout>
      </c:layout>
      <c:barChart>
        <c:barDir val="col"/>
        <c:grouping val="clustered"/>
        <c:varyColors val="0"/>
        <c:ser>
          <c:idx val="0"/>
          <c:order val="0"/>
          <c:tx>
            <c:strRef>
              <c:f>Sheet1!$O$36</c:f>
              <c:strCache>
                <c:ptCount val="1"/>
                <c:pt idx="0">
                  <c:v>Sum of 100s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Sheet1!$N$37:$N$41</c:f>
              <c:strCache>
                <c:ptCount val="4"/>
                <c:pt idx="0">
                  <c:v>ODI</c:v>
                </c:pt>
                <c:pt idx="1">
                  <c:v>T20I</c:v>
                </c:pt>
                <c:pt idx="2">
                  <c:v>Test</c:v>
                </c:pt>
                <c:pt idx="3">
                  <c:v>WPL</c:v>
                </c:pt>
              </c:strCache>
            </c:strRef>
          </c:cat>
          <c:val>
            <c:numRef>
              <c:f>Sheet1!$O$37:$O$41</c:f>
              <c:numCache>
                <c:formatCode>General</c:formatCode>
                <c:ptCount val="4"/>
                <c:pt idx="0">
                  <c:v>14</c:v>
                </c:pt>
                <c:pt idx="1">
                  <c:v>1</c:v>
                </c:pt>
                <c:pt idx="2">
                  <c:v>2</c:v>
                </c:pt>
                <c:pt idx="3">
                  <c:v>0</c:v>
                </c:pt>
              </c:numCache>
            </c:numRef>
          </c:val>
          <c:extLst>
            <c:ext xmlns:c16="http://schemas.microsoft.com/office/drawing/2014/chart" uri="{C3380CC4-5D6E-409C-BE32-E72D297353CC}">
              <c16:uniqueId val="{00000000-CCF6-4B6E-8126-59C26C36EF2A}"/>
            </c:ext>
          </c:extLst>
        </c:ser>
        <c:ser>
          <c:idx val="1"/>
          <c:order val="1"/>
          <c:tx>
            <c:strRef>
              <c:f>Sheet1!$P$36</c:f>
              <c:strCache>
                <c:ptCount val="1"/>
                <c:pt idx="0">
                  <c:v>Sum of 50s</c:v>
                </c:pt>
              </c:strCache>
            </c:strRef>
          </c:tx>
          <c:spPr>
            <a:solidFill>
              <a:srgbClr val="C0000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Sheet1!$N$37:$N$41</c:f>
              <c:strCache>
                <c:ptCount val="4"/>
                <c:pt idx="0">
                  <c:v>ODI</c:v>
                </c:pt>
                <c:pt idx="1">
                  <c:v>T20I</c:v>
                </c:pt>
                <c:pt idx="2">
                  <c:v>Test</c:v>
                </c:pt>
                <c:pt idx="3">
                  <c:v>WPL</c:v>
                </c:pt>
              </c:strCache>
            </c:strRef>
          </c:cat>
          <c:val>
            <c:numRef>
              <c:f>Sheet1!$P$37:$P$41</c:f>
              <c:numCache>
                <c:formatCode>General</c:formatCode>
                <c:ptCount val="4"/>
                <c:pt idx="0">
                  <c:v>35</c:v>
                </c:pt>
                <c:pt idx="1">
                  <c:v>33</c:v>
                </c:pt>
                <c:pt idx="2">
                  <c:v>3</c:v>
                </c:pt>
                <c:pt idx="3">
                  <c:v>7</c:v>
                </c:pt>
              </c:numCache>
            </c:numRef>
          </c:val>
          <c:extLst>
            <c:ext xmlns:c16="http://schemas.microsoft.com/office/drawing/2014/chart" uri="{C3380CC4-5D6E-409C-BE32-E72D297353CC}">
              <c16:uniqueId val="{00000001-CCF6-4B6E-8126-59C26C36EF2A}"/>
            </c:ext>
          </c:extLst>
        </c:ser>
        <c:ser>
          <c:idx val="2"/>
          <c:order val="2"/>
          <c:tx>
            <c:strRef>
              <c:f>Sheet1!$Q$36</c:f>
              <c:strCache>
                <c:ptCount val="1"/>
                <c:pt idx="0">
                  <c:v>Average of Strike Rate</c:v>
                </c:pt>
              </c:strCache>
            </c:strRef>
          </c:tx>
          <c:spPr>
            <a:solidFill>
              <a:srgbClr val="00B0F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Sheet1!$N$37:$N$41</c:f>
              <c:strCache>
                <c:ptCount val="4"/>
                <c:pt idx="0">
                  <c:v>ODI</c:v>
                </c:pt>
                <c:pt idx="1">
                  <c:v>T20I</c:v>
                </c:pt>
                <c:pt idx="2">
                  <c:v>Test</c:v>
                </c:pt>
                <c:pt idx="3">
                  <c:v>WPL</c:v>
                </c:pt>
              </c:strCache>
            </c:strRef>
          </c:cat>
          <c:val>
            <c:numRef>
              <c:f>Sheet1!$Q$37:$Q$41</c:f>
              <c:numCache>
                <c:formatCode>General</c:formatCode>
                <c:ptCount val="4"/>
                <c:pt idx="0">
                  <c:v>90.4</c:v>
                </c:pt>
                <c:pt idx="1">
                  <c:v>124.5</c:v>
                </c:pt>
                <c:pt idx="2">
                  <c:v>63.4</c:v>
                </c:pt>
                <c:pt idx="3">
                  <c:v>136.80000000000001</c:v>
                </c:pt>
              </c:numCache>
            </c:numRef>
          </c:val>
          <c:extLst>
            <c:ext xmlns:c16="http://schemas.microsoft.com/office/drawing/2014/chart" uri="{C3380CC4-5D6E-409C-BE32-E72D297353CC}">
              <c16:uniqueId val="{00000002-CCF6-4B6E-8126-59C26C36EF2A}"/>
            </c:ext>
          </c:extLst>
        </c:ser>
        <c:dLbls>
          <c:dLblPos val="outEnd"/>
          <c:showLegendKey val="0"/>
          <c:showVal val="1"/>
          <c:showCatName val="0"/>
          <c:showSerName val="0"/>
          <c:showPercent val="0"/>
          <c:showBubbleSize val="0"/>
        </c:dLbls>
        <c:gapWidth val="444"/>
        <c:overlap val="-90"/>
        <c:axId val="366130144"/>
        <c:axId val="366133504"/>
      </c:barChart>
      <c:catAx>
        <c:axId val="36613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1" u="none" strike="noStrike" kern="1200" cap="all" baseline="0">
                    <a:solidFill>
                      <a:schemeClr val="tx1"/>
                    </a:solidFill>
                    <a:latin typeface="Aparajita" panose="02020603050405020304" pitchFamily="18" charset="0"/>
                    <a:ea typeface="+mn-ea"/>
                    <a:cs typeface="Aparajita" panose="02020603050405020304" pitchFamily="18" charset="0"/>
                  </a:defRPr>
                </a:pPr>
                <a:r>
                  <a:rPr lang="en-IN" sz="1100" b="1" i="1">
                    <a:solidFill>
                      <a:schemeClr val="tx1"/>
                    </a:solidFill>
                    <a:latin typeface="Aparajita" panose="02020603050405020304" pitchFamily="18" charset="0"/>
                    <a:cs typeface="Aparajita" panose="02020603050405020304" pitchFamily="18" charset="0"/>
                  </a:rPr>
                  <a:t>TYPE</a:t>
                </a:r>
              </a:p>
            </c:rich>
          </c:tx>
          <c:overlay val="0"/>
          <c:spPr>
            <a:noFill/>
            <a:ln>
              <a:noFill/>
            </a:ln>
            <a:effectLst/>
          </c:spPr>
          <c:txPr>
            <a:bodyPr rot="0" spcFirstLastPara="1" vertOverflow="ellipsis" vert="horz" wrap="square" anchor="ctr" anchorCtr="1"/>
            <a:lstStyle/>
            <a:p>
              <a:pPr>
                <a:defRPr sz="1100" b="1" i="1" u="none" strike="noStrike" kern="1200" cap="all" baseline="0">
                  <a:solidFill>
                    <a:schemeClr val="tx1"/>
                  </a:solidFill>
                  <a:latin typeface="Aparajita" panose="02020603050405020304" pitchFamily="18" charset="0"/>
                  <a:ea typeface="+mn-ea"/>
                  <a:cs typeface="Aparajita"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366133504"/>
        <c:crosses val="autoZero"/>
        <c:auto val="1"/>
        <c:lblAlgn val="ctr"/>
        <c:lblOffset val="100"/>
        <c:noMultiLvlLbl val="0"/>
      </c:catAx>
      <c:valAx>
        <c:axId val="366133504"/>
        <c:scaling>
          <c:orientation val="minMax"/>
        </c:scaling>
        <c:delete val="1"/>
        <c:axPos val="l"/>
        <c:title>
          <c:tx>
            <c:rich>
              <a:bodyPr rot="-5400000" spcFirstLastPara="1" vertOverflow="ellipsis" vert="horz" wrap="square" anchor="ctr" anchorCtr="1"/>
              <a:lstStyle/>
              <a:p>
                <a:pPr>
                  <a:defRPr sz="1100" b="1" i="1" u="none" strike="noStrike" kern="1200" cap="all" baseline="0">
                    <a:solidFill>
                      <a:schemeClr val="dk1"/>
                    </a:solidFill>
                    <a:latin typeface="Aparajita" panose="02020603050405020304" pitchFamily="18" charset="0"/>
                    <a:ea typeface="+mn-ea"/>
                    <a:cs typeface="Aparajita" panose="02020603050405020304" pitchFamily="18" charset="0"/>
                  </a:defRPr>
                </a:pPr>
                <a:r>
                  <a:rPr lang="en-IN" sz="1100" b="1" i="1">
                    <a:latin typeface="Aparajita" panose="02020603050405020304" pitchFamily="18" charset="0"/>
                    <a:cs typeface="Aparajita" panose="02020603050405020304" pitchFamily="18" charset="0"/>
                  </a:rPr>
                  <a:t>RUNS</a:t>
                </a:r>
              </a:p>
            </c:rich>
          </c:tx>
          <c:layout>
            <c:manualLayout>
              <c:xMode val="edge"/>
              <c:yMode val="edge"/>
              <c:x val="1.9444444444444445E-2"/>
              <c:y val="0.37284303003791186"/>
            </c:manualLayout>
          </c:layout>
          <c:overlay val="0"/>
          <c:spPr>
            <a:noFill/>
            <a:ln>
              <a:noFill/>
            </a:ln>
            <a:effectLst/>
          </c:spPr>
          <c:txPr>
            <a:bodyPr rot="-5400000" spcFirstLastPara="1" vertOverflow="ellipsis" vert="horz" wrap="square" anchor="ctr" anchorCtr="1"/>
            <a:lstStyle/>
            <a:p>
              <a:pPr>
                <a:defRPr sz="1100" b="1" i="1" u="none" strike="noStrike" kern="1200" cap="all" baseline="0">
                  <a:solidFill>
                    <a:schemeClr val="dk1"/>
                  </a:solidFill>
                  <a:latin typeface="Aparajita" panose="02020603050405020304" pitchFamily="18" charset="0"/>
                  <a:ea typeface="+mn-ea"/>
                  <a:cs typeface="Aparajita" panose="02020603050405020304" pitchFamily="18" charset="0"/>
                </a:defRPr>
              </a:pPr>
              <a:endParaRPr lang="en-US"/>
            </a:p>
          </c:txPr>
        </c:title>
        <c:numFmt formatCode="General" sourceLinked="1"/>
        <c:majorTickMark val="none"/>
        <c:minorTickMark val="none"/>
        <c:tickLblPos val="nextTo"/>
        <c:crossAx val="3661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[srumuthi_mandannadashboard.xlsx]Sheet1!PivotTable17</c:name>
    <c:fmtId val="11"/>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b="1" i="1" u="sng">
                <a:solidFill>
                  <a:srgbClr val="C00000"/>
                </a:solidFill>
                <a:latin typeface="Aparajita" panose="02020603050405020304" pitchFamily="18" charset="0"/>
                <a:cs typeface="Aparajita" panose="02020603050405020304" pitchFamily="18" charset="0"/>
              </a:rPr>
              <a:t>COMBO</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Sheet1!$L$87</c:f>
              <c:strCache>
                <c:ptCount val="1"/>
                <c:pt idx="0">
                  <c:v>Sum of Balls</c:v>
                </c:pt>
              </c:strCache>
            </c:strRef>
          </c:tx>
          <c:spPr>
            <a:solidFill>
              <a:schemeClr val="accent1">
                <a:lumMod val="40000"/>
                <a:lumOff val="6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Sheet1!$K$88:$K$92</c:f>
              <c:strCache>
                <c:ptCount val="4"/>
                <c:pt idx="0">
                  <c:v>ODI</c:v>
                </c:pt>
                <c:pt idx="1">
                  <c:v>T20I</c:v>
                </c:pt>
                <c:pt idx="2">
                  <c:v>Test</c:v>
                </c:pt>
                <c:pt idx="3">
                  <c:v>WPL</c:v>
                </c:pt>
              </c:strCache>
            </c:strRef>
          </c:cat>
          <c:val>
            <c:numRef>
              <c:f>Sheet1!$L$88:$L$92</c:f>
              <c:numCache>
                <c:formatCode>General</c:formatCode>
                <c:ptCount val="4"/>
                <c:pt idx="0">
                  <c:v>692</c:v>
                </c:pt>
                <c:pt idx="1">
                  <c:v>284</c:v>
                </c:pt>
                <c:pt idx="2">
                  <c:v>234</c:v>
                </c:pt>
                <c:pt idx="3">
                  <c:v>450</c:v>
                </c:pt>
              </c:numCache>
            </c:numRef>
          </c:val>
          <c:extLst>
            <c:ext xmlns:c16="http://schemas.microsoft.com/office/drawing/2014/chart" uri="{C3380CC4-5D6E-409C-BE32-E72D297353CC}">
              <c16:uniqueId val="{00000000-EA50-4912-A0F6-BF9754E64C8E}"/>
            </c:ext>
          </c:extLst>
        </c:ser>
        <c:dLbls>
          <c:dLblPos val="inEnd"/>
          <c:showLegendKey val="0"/>
          <c:showVal val="1"/>
          <c:showCatName val="0"/>
          <c:showSerName val="0"/>
          <c:showPercent val="0"/>
          <c:showBubbleSize val="0"/>
        </c:dLbls>
        <c:gapWidth val="150"/>
        <c:axId val="1200065744"/>
        <c:axId val="1200055664"/>
      </c:barChart>
      <c:lineChart>
        <c:grouping val="standard"/>
        <c:varyColors val="0"/>
        <c:ser>
          <c:idx val="1"/>
          <c:order val="1"/>
          <c:tx>
            <c:strRef>
              <c:f>Sheet1!$M$87</c:f>
              <c:strCache>
                <c:ptCount val="1"/>
                <c:pt idx="0">
                  <c:v>Sum of Runs</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Sheet1!$K$88:$K$92</c:f>
              <c:strCache>
                <c:ptCount val="4"/>
                <c:pt idx="0">
                  <c:v>ODI</c:v>
                </c:pt>
                <c:pt idx="1">
                  <c:v>T20I</c:v>
                </c:pt>
                <c:pt idx="2">
                  <c:v>Test</c:v>
                </c:pt>
                <c:pt idx="3">
                  <c:v>WPL</c:v>
                </c:pt>
              </c:strCache>
            </c:strRef>
          </c:cat>
          <c:val>
            <c:numRef>
              <c:f>Sheet1!$M$88:$M$92</c:f>
              <c:numCache>
                <c:formatCode>General</c:formatCode>
                <c:ptCount val="4"/>
                <c:pt idx="0">
                  <c:v>598</c:v>
                </c:pt>
                <c:pt idx="1">
                  <c:v>378</c:v>
                </c:pt>
                <c:pt idx="2">
                  <c:v>149</c:v>
                </c:pt>
                <c:pt idx="3">
                  <c:v>656</c:v>
                </c:pt>
              </c:numCache>
            </c:numRef>
          </c:val>
          <c:smooth val="0"/>
          <c:extLst>
            <c:ext xmlns:c16="http://schemas.microsoft.com/office/drawing/2014/chart" uri="{C3380CC4-5D6E-409C-BE32-E72D297353CC}">
              <c16:uniqueId val="{00000001-EA50-4912-A0F6-BF9754E64C8E}"/>
            </c:ext>
          </c:extLst>
        </c:ser>
        <c:dLbls>
          <c:showLegendKey val="0"/>
          <c:showVal val="1"/>
          <c:showCatName val="0"/>
          <c:showSerName val="0"/>
          <c:showPercent val="0"/>
          <c:showBubbleSize val="0"/>
        </c:dLbls>
        <c:marker val="1"/>
        <c:smooth val="0"/>
        <c:axId val="1200065744"/>
        <c:axId val="1200055664"/>
      </c:lineChart>
      <c:catAx>
        <c:axId val="120006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0055664"/>
        <c:crosses val="autoZero"/>
        <c:auto val="1"/>
        <c:lblAlgn val="ctr"/>
        <c:lblOffset val="100"/>
        <c:noMultiLvlLbl val="0"/>
      </c:catAx>
      <c:valAx>
        <c:axId val="12000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00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[srumuthi_mandannadashboard.xlsx]Sheet1!PivotTable18</c:name>
    <c:fmtId val="15"/>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IN" i="1" u="sng">
                <a:solidFill>
                  <a:srgbClr val="C00000"/>
                </a:solidFill>
                <a:latin typeface="Aparajita" panose="02020603050405020304" pitchFamily="18" charset="0"/>
                <a:cs typeface="Aparajita" panose="02020603050405020304" pitchFamily="18" charset="0"/>
              </a:rPr>
              <a:t>TOTAL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triangl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78546017311142"/>
          <c:y val="0.3270943665847571"/>
          <c:w val="0.28851885036378316"/>
          <c:h val="0.53364473307120519"/>
        </c:manualLayout>
      </c:layout>
      <c:barChart>
        <c:barDir val="bar"/>
        <c:grouping val="stacked"/>
        <c:varyColors val="0"/>
        <c:ser>
          <c:idx val="0"/>
          <c:order val="0"/>
          <c:tx>
            <c:strRef>
              <c:f>Sheet1!$H$102</c:f>
              <c:strCache>
                <c:ptCount val="1"/>
                <c:pt idx="0">
                  <c:v>Sum of 4s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Sheet1!$G$103:$G$111</c:f>
              <c:strCache>
                <c:ptCount val="8"/>
                <c:pt idx="0">
                  <c:v>AUSW(Australia)</c:v>
                </c:pt>
                <c:pt idx="1">
                  <c:v>DCW(Delhi)</c:v>
                </c:pt>
                <c:pt idx="2">
                  <c:v>ENGW(England)</c:v>
                </c:pt>
                <c:pt idx="3">
                  <c:v>MIW(Mumbai)</c:v>
                </c:pt>
                <c:pt idx="4">
                  <c:v>NZW(New Zealand)</c:v>
                </c:pt>
                <c:pt idx="5">
                  <c:v>SAW(South Africa)</c:v>
                </c:pt>
                <c:pt idx="6">
                  <c:v>UPW(UP)</c:v>
                </c:pt>
                <c:pt idx="7">
                  <c:v>WIW(West Indies)</c:v>
                </c:pt>
              </c:strCache>
            </c:strRef>
          </c:cat>
          <c:val>
            <c:numRef>
              <c:f>Sheet1!$H$103:$H$111</c:f>
              <c:numCache>
                <c:formatCode>General</c:formatCode>
                <c:ptCount val="8"/>
                <c:pt idx="0">
                  <c:v>39</c:v>
                </c:pt>
                <c:pt idx="1">
                  <c:v>48</c:v>
                </c:pt>
                <c:pt idx="2">
                  <c:v>40</c:v>
                </c:pt>
                <c:pt idx="3">
                  <c:v>43</c:v>
                </c:pt>
                <c:pt idx="4">
                  <c:v>26</c:v>
                </c:pt>
                <c:pt idx="5">
                  <c:v>27</c:v>
                </c:pt>
                <c:pt idx="6">
                  <c:v>8</c:v>
                </c:pt>
                <c:pt idx="7">
                  <c:v>10</c:v>
                </c:pt>
              </c:numCache>
            </c:numRef>
          </c:val>
          <c:extLst>
            <c:ext xmlns:c16="http://schemas.microsoft.com/office/drawing/2014/chart" uri="{C3380CC4-5D6E-409C-BE32-E72D297353CC}">
              <c16:uniqueId val="{00000000-2107-4B68-A847-EFFA0B76025A}"/>
            </c:ext>
          </c:extLst>
        </c:ser>
        <c:ser>
          <c:idx val="1"/>
          <c:order val="1"/>
          <c:tx>
            <c:strRef>
              <c:f>Sheet1!$I$102</c:f>
              <c:strCache>
                <c:ptCount val="1"/>
                <c:pt idx="0">
                  <c:v>Sum of 6s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Sheet1!$G$103:$G$111</c:f>
              <c:strCache>
                <c:ptCount val="8"/>
                <c:pt idx="0">
                  <c:v>AUSW(Australia)</c:v>
                </c:pt>
                <c:pt idx="1">
                  <c:v>DCW(Delhi)</c:v>
                </c:pt>
                <c:pt idx="2">
                  <c:v>ENGW(England)</c:v>
                </c:pt>
                <c:pt idx="3">
                  <c:v>MIW(Mumbai)</c:v>
                </c:pt>
                <c:pt idx="4">
                  <c:v>NZW(New Zealand)</c:v>
                </c:pt>
                <c:pt idx="5">
                  <c:v>SAW(South Africa)</c:v>
                </c:pt>
                <c:pt idx="6">
                  <c:v>UPW(UP)</c:v>
                </c:pt>
                <c:pt idx="7">
                  <c:v>WIW(West Indies)</c:v>
                </c:pt>
              </c:strCache>
            </c:strRef>
          </c:cat>
          <c:val>
            <c:numRef>
              <c:f>Sheet1!$I$103:$I$111</c:f>
              <c:numCache>
                <c:formatCode>General</c:formatCode>
                <c:ptCount val="8"/>
                <c:pt idx="0">
                  <c:v>5</c:v>
                </c:pt>
                <c:pt idx="1">
                  <c:v>11</c:v>
                </c:pt>
                <c:pt idx="2">
                  <c:v>7</c:v>
                </c:pt>
                <c:pt idx="3">
                  <c:v>8</c:v>
                </c:pt>
                <c:pt idx="4">
                  <c:v>2</c:v>
                </c:pt>
                <c:pt idx="5">
                  <c:v>2</c:v>
                </c:pt>
                <c:pt idx="6">
                  <c:v>2</c:v>
                </c:pt>
                <c:pt idx="7">
                  <c:v>2</c:v>
                </c:pt>
              </c:numCache>
            </c:numRef>
          </c:val>
          <c:extLst>
            <c:ext xmlns:c16="http://schemas.microsoft.com/office/drawing/2014/chart" uri="{C3380CC4-5D6E-409C-BE32-E72D297353CC}">
              <c16:uniqueId val="{00000001-2107-4B68-A847-EFFA0B76025A}"/>
            </c:ext>
          </c:extLst>
        </c:ser>
        <c:ser>
          <c:idx val="2"/>
          <c:order val="2"/>
          <c:tx>
            <c:strRef>
              <c:f>Sheet1!$J$102</c:f>
              <c:strCache>
                <c:ptCount val="1"/>
                <c:pt idx="0">
                  <c:v>Count of Result</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Sheet1!$G$103:$G$111</c:f>
              <c:strCache>
                <c:ptCount val="8"/>
                <c:pt idx="0">
                  <c:v>AUSW(Australia)</c:v>
                </c:pt>
                <c:pt idx="1">
                  <c:v>DCW(Delhi)</c:v>
                </c:pt>
                <c:pt idx="2">
                  <c:v>ENGW(England)</c:v>
                </c:pt>
                <c:pt idx="3">
                  <c:v>MIW(Mumbai)</c:v>
                </c:pt>
                <c:pt idx="4">
                  <c:v>NZW(New Zealand)</c:v>
                </c:pt>
                <c:pt idx="5">
                  <c:v>SAW(South Africa)</c:v>
                </c:pt>
                <c:pt idx="6">
                  <c:v>UPW(UP)</c:v>
                </c:pt>
                <c:pt idx="7">
                  <c:v>WIW(West Indies)</c:v>
                </c:pt>
              </c:strCache>
            </c:strRef>
          </c:cat>
          <c:val>
            <c:numRef>
              <c:f>Sheet1!$J$103:$J$111</c:f>
              <c:numCache>
                <c:formatCode>General</c:formatCode>
                <c:ptCount val="8"/>
                <c:pt idx="0">
                  <c:v>7</c:v>
                </c:pt>
                <c:pt idx="1">
                  <c:v>4</c:v>
                </c:pt>
                <c:pt idx="2">
                  <c:v>4</c:v>
                </c:pt>
                <c:pt idx="3">
                  <c:v>5</c:v>
                </c:pt>
                <c:pt idx="4">
                  <c:v>2</c:v>
                </c:pt>
                <c:pt idx="5">
                  <c:v>2</c:v>
                </c:pt>
                <c:pt idx="6">
                  <c:v>1</c:v>
                </c:pt>
                <c:pt idx="7">
                  <c:v>1</c:v>
                </c:pt>
              </c:numCache>
            </c:numRef>
          </c:val>
          <c:extLst>
            <c:ext xmlns:c16="http://schemas.microsoft.com/office/drawing/2014/chart" uri="{C3380CC4-5D6E-409C-BE32-E72D297353CC}">
              <c16:uniqueId val="{00000002-2107-4B68-A847-EFFA0B76025A}"/>
            </c:ext>
          </c:extLst>
        </c:ser>
        <c:dLbls>
          <c:dLblPos val="ctr"/>
          <c:showLegendKey val="0"/>
          <c:showVal val="1"/>
          <c:showCatName val="0"/>
          <c:showSerName val="0"/>
          <c:showPercent val="0"/>
          <c:showBubbleSize val="0"/>
        </c:dLbls>
        <c:gapWidth val="79"/>
        <c:overlap val="100"/>
        <c:axId val="1362628096"/>
        <c:axId val="1362630016"/>
      </c:barChart>
      <c:catAx>
        <c:axId val="1362628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b="1" i="1">
                    <a:latin typeface="Aparajita" panose="02020603050405020304" pitchFamily="18" charset="0"/>
                    <a:cs typeface="Aparajita" panose="02020603050405020304" pitchFamily="18" charset="0"/>
                  </a:rPr>
                  <a:t>OPPONENT</a:t>
                </a:r>
              </a:p>
            </c:rich>
          </c:tx>
          <c:layout>
            <c:manualLayout>
              <c:xMode val="edge"/>
              <c:yMode val="edge"/>
              <c:x val="4.5865784739075127E-2"/>
              <c:y val="0.238254154325005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362630016"/>
        <c:crosses val="autoZero"/>
        <c:auto val="1"/>
        <c:lblAlgn val="ctr"/>
        <c:lblOffset val="100"/>
        <c:noMultiLvlLbl val="0"/>
      </c:catAx>
      <c:valAx>
        <c:axId val="1362630016"/>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sz="1000" b="1" i="1">
                    <a:solidFill>
                      <a:schemeClr val="tx1"/>
                    </a:solidFill>
                    <a:latin typeface="Aparajita" panose="02020603050405020304" pitchFamily="18" charset="0"/>
                    <a:cs typeface="Aparajita" panose="02020603050405020304" pitchFamily="18" charset="0"/>
                  </a:rPr>
                  <a:t>RUNS</a:t>
                </a:r>
              </a:p>
            </c:rich>
          </c:tx>
          <c:layout>
            <c:manualLayout>
              <c:xMode val="edge"/>
              <c:yMode val="edge"/>
              <c:x val="0.57454709776028401"/>
              <c:y val="0.9028469683730160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crossAx val="136262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2.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image" Target="../media/image10.png"/><Relationship Id="rId2" Type="http://schemas.openxmlformats.org/officeDocument/2006/relationships/image" Target="../media/image2.sv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18</xdr:col>
      <xdr:colOff>371230</xdr:colOff>
      <xdr:row>29</xdr:row>
      <xdr:rowOff>19538</xdr:rowOff>
    </xdr:from>
    <xdr:to>
      <xdr:col>21</xdr:col>
      <xdr:colOff>872718</xdr:colOff>
      <xdr:row>41</xdr:row>
      <xdr:rowOff>175845</xdr:rowOff>
    </xdr:to>
    <xdr:graphicFrame macro="">
      <xdr:nvGraphicFramePr>
        <xdr:cNvPr id="3" name="Chart 2">
          <a:extLst>
            <a:ext uri="{FF2B5EF4-FFF2-40B4-BE49-F238E27FC236}">
              <a16:creationId xmlns:a16="http://schemas.microsoft.com/office/drawing/2014/main" id="{B61DB4AD-07CA-4F1E-5053-0D6E06A01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78153</xdr:colOff>
      <xdr:row>0</xdr:row>
      <xdr:rowOff>0</xdr:rowOff>
    </xdr:from>
    <xdr:to>
      <xdr:col>11</xdr:col>
      <xdr:colOff>201897</xdr:colOff>
      <xdr:row>11</xdr:row>
      <xdr:rowOff>97692</xdr:rowOff>
    </xdr:to>
    <xdr:graphicFrame macro="">
      <xdr:nvGraphicFramePr>
        <xdr:cNvPr id="4" name="Chart 3">
          <a:extLst>
            <a:ext uri="{FF2B5EF4-FFF2-40B4-BE49-F238E27FC236}">
              <a16:creationId xmlns:a16="http://schemas.microsoft.com/office/drawing/2014/main" id="{F27B9080-56F3-EEFE-962E-73181625E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169334</xdr:colOff>
      <xdr:row>67</xdr:row>
      <xdr:rowOff>162170</xdr:rowOff>
    </xdr:from>
    <xdr:to>
      <xdr:col>7</xdr:col>
      <xdr:colOff>579641</xdr:colOff>
      <xdr:row>80</xdr:row>
      <xdr:rowOff>39077</xdr:rowOff>
    </xdr:to>
    <xdr:graphicFrame macro="">
      <xdr:nvGraphicFramePr>
        <xdr:cNvPr id="5" name="Chart 4">
          <a:extLst>
            <a:ext uri="{FF2B5EF4-FFF2-40B4-BE49-F238E27FC236}">
              <a16:creationId xmlns:a16="http://schemas.microsoft.com/office/drawing/2014/main" id="{9AB69C3A-A8A6-4363-F1D7-528F0669A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690359</xdr:colOff>
      <xdr:row>27</xdr:row>
      <xdr:rowOff>84017</xdr:rowOff>
    </xdr:from>
    <xdr:to>
      <xdr:col>12</xdr:col>
      <xdr:colOff>182360</xdr:colOff>
      <xdr:row>39</xdr:row>
      <xdr:rowOff>84667</xdr:rowOff>
    </xdr:to>
    <xdr:graphicFrame macro="">
      <xdr:nvGraphicFramePr>
        <xdr:cNvPr id="7" name="Chart 6">
          <a:extLst>
            <a:ext uri="{FF2B5EF4-FFF2-40B4-BE49-F238E27FC236}">
              <a16:creationId xmlns:a16="http://schemas.microsoft.com/office/drawing/2014/main" id="{F190C0F6-D33D-4332-80AC-662E98A85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332155</xdr:colOff>
      <xdr:row>15</xdr:row>
      <xdr:rowOff>70989</xdr:rowOff>
    </xdr:from>
    <xdr:to>
      <xdr:col>9</xdr:col>
      <xdr:colOff>410307</xdr:colOff>
      <xdr:row>26</xdr:row>
      <xdr:rowOff>169333</xdr:rowOff>
    </xdr:to>
    <xdr:graphicFrame macro="">
      <xdr:nvGraphicFramePr>
        <xdr:cNvPr id="8" name="Chart 7">
          <a:extLst>
            <a:ext uri="{FF2B5EF4-FFF2-40B4-BE49-F238E27FC236}">
              <a16:creationId xmlns:a16="http://schemas.microsoft.com/office/drawing/2014/main" id="{A74BB8DA-BE07-3CB2-9256-EAD4574C4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468922</xdr:colOff>
      <xdr:row>26</xdr:row>
      <xdr:rowOff>84016</xdr:rowOff>
    </xdr:from>
    <xdr:to>
      <xdr:col>15</xdr:col>
      <xdr:colOff>455897</xdr:colOff>
      <xdr:row>41</xdr:row>
      <xdr:rowOff>91831</xdr:rowOff>
    </xdr:to>
    <xdr:graphicFrame macro="">
      <xdr:nvGraphicFramePr>
        <xdr:cNvPr id="9" name="Chart 8">
          <a:extLst>
            <a:ext uri="{FF2B5EF4-FFF2-40B4-BE49-F238E27FC236}">
              <a16:creationId xmlns:a16="http://schemas.microsoft.com/office/drawing/2014/main" id="{51A58991-DD77-8F0E-C239-298FD7CAC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618719</xdr:colOff>
      <xdr:row>100</xdr:row>
      <xdr:rowOff>44939</xdr:rowOff>
    </xdr:from>
    <xdr:to>
      <xdr:col>20</xdr:col>
      <xdr:colOff>846668</xdr:colOff>
      <xdr:row>115</xdr:row>
      <xdr:rowOff>52754</xdr:rowOff>
    </xdr:to>
    <xdr:graphicFrame macro="">
      <xdr:nvGraphicFramePr>
        <xdr:cNvPr id="10" name="Chart 9">
          <a:extLst>
            <a:ext uri="{FF2B5EF4-FFF2-40B4-BE49-F238E27FC236}">
              <a16:creationId xmlns:a16="http://schemas.microsoft.com/office/drawing/2014/main" id="{F33FC8F3-0840-4027-7DD9-23080005A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599180</xdr:colOff>
      <xdr:row>84</xdr:row>
      <xdr:rowOff>44938</xdr:rowOff>
    </xdr:from>
    <xdr:to>
      <xdr:col>19</xdr:col>
      <xdr:colOff>227949</xdr:colOff>
      <xdr:row>99</xdr:row>
      <xdr:rowOff>52754</xdr:rowOff>
    </xdr:to>
    <xdr:graphicFrame macro="">
      <xdr:nvGraphicFramePr>
        <xdr:cNvPr id="11" name="Chart 10">
          <a:extLst>
            <a:ext uri="{FF2B5EF4-FFF2-40B4-BE49-F238E27FC236}">
              <a16:creationId xmlns:a16="http://schemas.microsoft.com/office/drawing/2014/main" id="{AAEB4440-22C9-FEBB-F0C2-FAED250A9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9</xdr:row>
      <xdr:rowOff>153898</xdr:rowOff>
    </xdr:from>
    <xdr:to>
      <xdr:col>2</xdr:col>
      <xdr:colOff>158132</xdr:colOff>
      <xdr:row>18</xdr:row>
      <xdr:rowOff>71641</xdr:rowOff>
    </xdr:to>
    <mc:AlternateContent xmlns:mc="http://schemas.openxmlformats.org/markup-compatibility/2006">
      <mc:Choice xmlns:a14="http://schemas.microsoft.com/office/drawing/2010/main" Requires="a14">
        <xdr:graphicFrame macro="">
          <xdr:nvGraphicFramePr>
            <xdr:cNvPr id="12" name="Format">
              <a:extLst>
                <a:ext uri="{FF2B5EF4-FFF2-40B4-BE49-F238E27FC236}">
                  <a16:creationId xmlns:a16="http://schemas.microsoft.com/office/drawing/2014/main" id="{E821DC16-11A7-E302-0AFF-1000A508370B}"/>
                </a:ext>
              </a:extLst>
            </xdr:cNvPr>
            <xdr:cNvGraphicFramePr/>
          </xdr:nvGraphicFramePr>
          <xdr:xfrm>
            <a:off x="0" y="0"/>
            <a:ext cx="0" cy="0"/>
          </xdr:xfrm>
          <a:graphic>
            <a:graphicData uri="http://schemas.microsoft.com/office/drawing/2010/slicer">
              <sle:slicer xmlns:sle="http://schemas.microsoft.com/office/drawing/2010/slicer" name="Format"/>
            </a:graphicData>
          </a:graphic>
        </xdr:graphicFrame>
      </mc:Choice>
      <mc:Fallback>
        <xdr:sp macro="" textlink="">
          <xdr:nvSpPr>
            <xdr:cNvPr id="0" name=""/>
            <xdr:cNvSpPr>
              <a:spLocks noTextEdit="1"/>
            </xdr:cNvSpPr>
          </xdr:nvSpPr>
          <xdr:spPr>
            <a:xfrm>
              <a:off x="0" y="1795129"/>
              <a:ext cx="1812388" cy="1558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200075</xdr:colOff>
      <xdr:row>83</xdr:row>
      <xdr:rowOff>44482</xdr:rowOff>
    </xdr:from>
    <xdr:to>
      <xdr:col>14</xdr:col>
      <xdr:colOff>153182</xdr:colOff>
      <xdr:row>96</xdr:row>
      <xdr:rowOff>140790</xdr:rowOff>
    </xdr:to>
    <mc:AlternateContent xmlns:mc="http://schemas.openxmlformats.org/markup-compatibility/2006">
      <mc:Choice xmlns:a14="http://schemas.microsoft.com/office/drawing/2010/main" Requires="a14">
        <xdr:graphicFrame macro="">
          <xdr:nvGraphicFramePr>
            <xdr:cNvPr id="13" name="Opponent">
              <a:extLst>
                <a:ext uri="{FF2B5EF4-FFF2-40B4-BE49-F238E27FC236}">
                  <a16:creationId xmlns:a16="http://schemas.microsoft.com/office/drawing/2014/main" id="{520AD2AA-7259-344A-D40B-7E0193858B87}"/>
                </a:ext>
              </a:extLst>
            </xdr:cNvPr>
            <xdr:cNvGraphicFramePr/>
          </xdr:nvGraphicFramePr>
          <xdr:xfrm>
            <a:off x="0" y="0"/>
            <a:ext cx="0" cy="0"/>
          </xdr:xfrm>
          <a:graphic>
            <a:graphicData uri="http://schemas.microsoft.com/office/drawing/2010/slicer">
              <sle:slicer xmlns:sle="http://schemas.microsoft.com/office/drawing/2010/slicer" name="Opponent"/>
            </a:graphicData>
          </a:graphic>
        </xdr:graphicFrame>
      </mc:Choice>
      <mc:Fallback>
        <xdr:sp macro="" textlink="">
          <xdr:nvSpPr>
            <xdr:cNvPr id="0" name=""/>
            <xdr:cNvSpPr>
              <a:spLocks noTextEdit="1"/>
            </xdr:cNvSpPr>
          </xdr:nvSpPr>
          <xdr:spPr>
            <a:xfrm>
              <a:off x="9799972" y="1518027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285848</xdr:colOff>
      <xdr:row>60</xdr:row>
      <xdr:rowOff>6123</xdr:rowOff>
    </xdr:from>
    <xdr:to>
      <xdr:col>9</xdr:col>
      <xdr:colOff>126023</xdr:colOff>
      <xdr:row>67</xdr:row>
      <xdr:rowOff>101210</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20F8FE06-50AC-D292-5402-A2D8400A8F1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008207" y="1094766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217095</xdr:colOff>
      <xdr:row>4</xdr:row>
      <xdr:rowOff>45123</xdr:rowOff>
    </xdr:from>
    <xdr:to>
      <xdr:col>25</xdr:col>
      <xdr:colOff>37353</xdr:colOff>
      <xdr:row>53</xdr:row>
      <xdr:rowOff>59765</xdr:rowOff>
    </xdr:to>
    <xdr:sp macro="" textlink="">
      <xdr:nvSpPr>
        <xdr:cNvPr id="2" name="Rectangle 1">
          <a:extLst>
            <a:ext uri="{FF2B5EF4-FFF2-40B4-BE49-F238E27FC236}">
              <a16:creationId xmlns:a16="http://schemas.microsoft.com/office/drawing/2014/main" id="{7288DDFA-C312-9FFA-4ABA-1EFD2FB4B666}"/>
            </a:ext>
          </a:extLst>
        </xdr:cNvPr>
        <xdr:cNvSpPr/>
      </xdr:nvSpPr>
      <xdr:spPr>
        <a:xfrm>
          <a:off x="1442271" y="762299"/>
          <a:ext cx="13909788" cy="8800054"/>
        </a:xfrm>
        <a:prstGeom prst="rect">
          <a:avLst/>
        </a:prstGeom>
        <a:solidFill>
          <a:schemeClr val="accent2">
            <a:lumMod val="40000"/>
            <a:lumOff val="60000"/>
          </a:schemeClr>
        </a:solidFill>
        <a:ln>
          <a:solidFill>
            <a:schemeClr val="accent2">
              <a:lumMod val="60000"/>
              <a:lumOff val="4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94943</xdr:colOff>
      <xdr:row>4</xdr:row>
      <xdr:rowOff>89648</xdr:rowOff>
    </xdr:from>
    <xdr:to>
      <xdr:col>21</xdr:col>
      <xdr:colOff>311590</xdr:colOff>
      <xdr:row>7</xdr:row>
      <xdr:rowOff>104588</xdr:rowOff>
    </xdr:to>
    <xdr:sp macro="" textlink="">
      <xdr:nvSpPr>
        <xdr:cNvPr id="3" name="Rectangle: Rounded Corners 2">
          <a:extLst>
            <a:ext uri="{FF2B5EF4-FFF2-40B4-BE49-F238E27FC236}">
              <a16:creationId xmlns:a16="http://schemas.microsoft.com/office/drawing/2014/main" id="{22F107D2-A501-7789-949C-AB0704F616A5}"/>
            </a:ext>
          </a:extLst>
        </xdr:cNvPr>
        <xdr:cNvSpPr/>
      </xdr:nvSpPr>
      <xdr:spPr>
        <a:xfrm>
          <a:off x="3133297" y="822711"/>
          <a:ext cx="9939382" cy="564738"/>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2800" b="1" i="1">
              <a:solidFill>
                <a:srgbClr val="C00000"/>
              </a:solidFill>
              <a:latin typeface="Aparajita" panose="02020603050405020304" pitchFamily="18" charset="0"/>
              <a:cs typeface="Aparajita" panose="02020603050405020304" pitchFamily="18" charset="0"/>
            </a:rPr>
            <a:t>Smrithi</a:t>
          </a:r>
          <a:r>
            <a:rPr lang="en-IN" sz="2800" b="1" i="1" baseline="0">
              <a:solidFill>
                <a:srgbClr val="C00000"/>
              </a:solidFill>
              <a:latin typeface="Aparajita" panose="02020603050405020304" pitchFamily="18" charset="0"/>
              <a:cs typeface="Aparajita" panose="02020603050405020304" pitchFamily="18" charset="0"/>
            </a:rPr>
            <a:t> Mandanna - Career Dashboard Analysis....</a:t>
          </a:r>
          <a:endParaRPr lang="en-IN" sz="2800" b="1" i="1">
            <a:solidFill>
              <a:srgbClr val="C00000"/>
            </a:solidFill>
            <a:latin typeface="Aparajita" panose="02020603050405020304" pitchFamily="18" charset="0"/>
            <a:cs typeface="Aparajita" panose="02020603050405020304" pitchFamily="18" charset="0"/>
          </a:endParaRPr>
        </a:p>
      </xdr:txBody>
    </xdr:sp>
    <xdr:clientData/>
  </xdr:twoCellAnchor>
  <xdr:twoCellAnchor>
    <xdr:from>
      <xdr:col>2</xdr:col>
      <xdr:colOff>254000</xdr:colOff>
      <xdr:row>4</xdr:row>
      <xdr:rowOff>82176</xdr:rowOff>
    </xdr:from>
    <xdr:to>
      <xdr:col>5</xdr:col>
      <xdr:colOff>59765</xdr:colOff>
      <xdr:row>12</xdr:row>
      <xdr:rowOff>1</xdr:rowOff>
    </xdr:to>
    <xdr:sp macro="" textlink="">
      <xdr:nvSpPr>
        <xdr:cNvPr id="4" name="Rectangle 3">
          <a:extLst>
            <a:ext uri="{FF2B5EF4-FFF2-40B4-BE49-F238E27FC236}">
              <a16:creationId xmlns:a16="http://schemas.microsoft.com/office/drawing/2014/main" id="{1B8129FF-1641-592C-DD4E-7E4145221EC0}"/>
            </a:ext>
          </a:extLst>
        </xdr:cNvPr>
        <xdr:cNvSpPr/>
      </xdr:nvSpPr>
      <xdr:spPr>
        <a:xfrm>
          <a:off x="1479176" y="799352"/>
          <a:ext cx="1643530" cy="135217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112058</xdr:colOff>
      <xdr:row>7</xdr:row>
      <xdr:rowOff>156884</xdr:rowOff>
    </xdr:from>
    <xdr:to>
      <xdr:col>8</xdr:col>
      <xdr:colOff>575234</xdr:colOff>
      <xdr:row>12</xdr:row>
      <xdr:rowOff>7472</xdr:rowOff>
    </xdr:to>
    <xdr:sp macro="" textlink="">
      <xdr:nvSpPr>
        <xdr:cNvPr id="5" name="Rectangle 4">
          <a:extLst>
            <a:ext uri="{FF2B5EF4-FFF2-40B4-BE49-F238E27FC236}">
              <a16:creationId xmlns:a16="http://schemas.microsoft.com/office/drawing/2014/main" id="{9069F046-1CE9-D7DA-8F4D-ACC92C03F849}"/>
            </a:ext>
          </a:extLst>
        </xdr:cNvPr>
        <xdr:cNvSpPr/>
      </xdr:nvSpPr>
      <xdr:spPr>
        <a:xfrm>
          <a:off x="3174999" y="1411943"/>
          <a:ext cx="2300941" cy="7470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         </a:t>
          </a:r>
          <a:r>
            <a:rPr lang="en-IN" sz="1600" b="1" i="1">
              <a:solidFill>
                <a:srgbClr val="C00000"/>
              </a:solidFill>
              <a:latin typeface="Aparajita" panose="02020603050405020304" pitchFamily="18" charset="0"/>
              <a:cs typeface="Aparajita" panose="02020603050405020304" pitchFamily="18" charset="0"/>
            </a:rPr>
            <a:t>Total</a:t>
          </a:r>
          <a:r>
            <a:rPr lang="en-IN" sz="1600" b="1" i="1" baseline="0">
              <a:solidFill>
                <a:srgbClr val="C00000"/>
              </a:solidFill>
              <a:latin typeface="Aparajita" panose="02020603050405020304" pitchFamily="18" charset="0"/>
              <a:cs typeface="Aparajita" panose="02020603050405020304" pitchFamily="18" charset="0"/>
            </a:rPr>
            <a:t> </a:t>
          </a:r>
          <a:r>
            <a:rPr lang="en-IN" sz="1600" b="1" i="1">
              <a:solidFill>
                <a:srgbClr val="C00000"/>
              </a:solidFill>
              <a:latin typeface="Aparajita" panose="02020603050405020304" pitchFamily="18" charset="0"/>
              <a:cs typeface="Aparajita" panose="02020603050405020304" pitchFamily="18" charset="0"/>
            </a:rPr>
            <a:t>Matches</a:t>
          </a:r>
        </a:p>
      </xdr:txBody>
    </xdr:sp>
    <xdr:clientData/>
  </xdr:twoCellAnchor>
  <xdr:twoCellAnchor>
    <xdr:from>
      <xdr:col>9</xdr:col>
      <xdr:colOff>450</xdr:colOff>
      <xdr:row>7</xdr:row>
      <xdr:rowOff>157184</xdr:rowOff>
    </xdr:from>
    <xdr:to>
      <xdr:col>12</xdr:col>
      <xdr:colOff>381001</xdr:colOff>
      <xdr:row>12</xdr:row>
      <xdr:rowOff>7772</xdr:rowOff>
    </xdr:to>
    <xdr:sp macro="" textlink="">
      <xdr:nvSpPr>
        <xdr:cNvPr id="6" name="Rectangle 5">
          <a:extLst>
            <a:ext uri="{FF2B5EF4-FFF2-40B4-BE49-F238E27FC236}">
              <a16:creationId xmlns:a16="http://schemas.microsoft.com/office/drawing/2014/main" id="{E3ACF8F4-06E5-4C21-9434-3F5F01144E3E}"/>
            </a:ext>
          </a:extLst>
        </xdr:cNvPr>
        <xdr:cNvSpPr/>
      </xdr:nvSpPr>
      <xdr:spPr>
        <a:xfrm>
          <a:off x="5513744" y="1412243"/>
          <a:ext cx="2218316" cy="7470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solidFill>
                <a:srgbClr val="C00000"/>
              </a:solidFill>
            </a:rPr>
            <a:t>               </a:t>
          </a:r>
          <a:r>
            <a:rPr lang="en-IN" sz="1600" b="1" i="1">
              <a:solidFill>
                <a:srgbClr val="C00000"/>
              </a:solidFill>
              <a:latin typeface="Aparajita" panose="02020603050405020304" pitchFamily="18" charset="0"/>
              <a:cs typeface="Aparajita" panose="02020603050405020304" pitchFamily="18" charset="0"/>
            </a:rPr>
            <a:t>Total Runs</a:t>
          </a:r>
        </a:p>
      </xdr:txBody>
    </xdr:sp>
    <xdr:clientData/>
  </xdr:twoCellAnchor>
  <xdr:twoCellAnchor>
    <xdr:from>
      <xdr:col>12</xdr:col>
      <xdr:colOff>426272</xdr:colOff>
      <xdr:row>7</xdr:row>
      <xdr:rowOff>157181</xdr:rowOff>
    </xdr:from>
    <xdr:to>
      <xdr:col>16</xdr:col>
      <xdr:colOff>194235</xdr:colOff>
      <xdr:row>12</xdr:row>
      <xdr:rowOff>7769</xdr:rowOff>
    </xdr:to>
    <xdr:sp macro="" textlink="">
      <xdr:nvSpPr>
        <xdr:cNvPr id="7" name="Rectangle 6">
          <a:extLst>
            <a:ext uri="{FF2B5EF4-FFF2-40B4-BE49-F238E27FC236}">
              <a16:creationId xmlns:a16="http://schemas.microsoft.com/office/drawing/2014/main" id="{5F1440E6-CE14-4B77-8357-62FA5602DCB8}"/>
            </a:ext>
          </a:extLst>
        </xdr:cNvPr>
        <xdr:cNvSpPr/>
      </xdr:nvSpPr>
      <xdr:spPr>
        <a:xfrm>
          <a:off x="7777331" y="1412240"/>
          <a:ext cx="2218316" cy="7470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t>                 </a:t>
          </a:r>
          <a:r>
            <a:rPr lang="en-IN" sz="1600" b="1" i="1">
              <a:solidFill>
                <a:srgbClr val="C00000"/>
              </a:solidFill>
              <a:latin typeface="Aparajita" panose="02020603050405020304" pitchFamily="18" charset="0"/>
              <a:cs typeface="Aparajita" panose="02020603050405020304" pitchFamily="18" charset="0"/>
            </a:rPr>
            <a:t>Winning</a:t>
          </a:r>
          <a:r>
            <a:rPr lang="en-IN" sz="1600" b="1" i="1" baseline="0">
              <a:solidFill>
                <a:srgbClr val="C00000"/>
              </a:solidFill>
              <a:latin typeface="Aparajita" panose="02020603050405020304" pitchFamily="18" charset="0"/>
              <a:cs typeface="Aparajita" panose="02020603050405020304" pitchFamily="18" charset="0"/>
            </a:rPr>
            <a:t> Matches</a:t>
          </a:r>
          <a:endParaRPr lang="en-IN" sz="1600" b="1" i="1">
            <a:solidFill>
              <a:srgbClr val="C00000"/>
            </a:solidFill>
            <a:latin typeface="Aparajita" panose="02020603050405020304" pitchFamily="18" charset="0"/>
            <a:cs typeface="Aparajita" panose="02020603050405020304" pitchFamily="18" charset="0"/>
          </a:endParaRPr>
        </a:p>
      </xdr:txBody>
    </xdr:sp>
    <xdr:clientData/>
  </xdr:twoCellAnchor>
  <xdr:twoCellAnchor>
    <xdr:from>
      <xdr:col>16</xdr:col>
      <xdr:colOff>239506</xdr:colOff>
      <xdr:row>7</xdr:row>
      <xdr:rowOff>149710</xdr:rowOff>
    </xdr:from>
    <xdr:to>
      <xdr:col>21</xdr:col>
      <xdr:colOff>321234</xdr:colOff>
      <xdr:row>12</xdr:row>
      <xdr:rowOff>298</xdr:rowOff>
    </xdr:to>
    <xdr:sp macro="" textlink="">
      <xdr:nvSpPr>
        <xdr:cNvPr id="8" name="Rectangle 7">
          <a:extLst>
            <a:ext uri="{FF2B5EF4-FFF2-40B4-BE49-F238E27FC236}">
              <a16:creationId xmlns:a16="http://schemas.microsoft.com/office/drawing/2014/main" id="{FDC0739C-F825-44F7-BA15-5BC519ED8C87}"/>
            </a:ext>
          </a:extLst>
        </xdr:cNvPr>
        <xdr:cNvSpPr/>
      </xdr:nvSpPr>
      <xdr:spPr>
        <a:xfrm>
          <a:off x="10040918" y="1404769"/>
          <a:ext cx="3144669" cy="7470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b="1" i="1">
              <a:latin typeface="Aparajita" panose="02020603050405020304" pitchFamily="18" charset="0"/>
              <a:cs typeface="Aparajita" panose="02020603050405020304" pitchFamily="18" charset="0"/>
            </a:rPr>
            <a:t>                </a:t>
          </a:r>
          <a:r>
            <a:rPr lang="en-IN" sz="1600" b="1" i="1">
              <a:solidFill>
                <a:srgbClr val="C00000"/>
              </a:solidFill>
              <a:latin typeface="Aparajita" panose="02020603050405020304" pitchFamily="18" charset="0"/>
              <a:cs typeface="Aparajita" panose="02020603050405020304" pitchFamily="18" charset="0"/>
            </a:rPr>
            <a:t>Awards</a:t>
          </a:r>
        </a:p>
      </xdr:txBody>
    </xdr:sp>
    <xdr:clientData/>
  </xdr:twoCellAnchor>
  <xdr:twoCellAnchor>
    <xdr:from>
      <xdr:col>2</xdr:col>
      <xdr:colOff>254000</xdr:colOff>
      <xdr:row>12</xdr:row>
      <xdr:rowOff>44823</xdr:rowOff>
    </xdr:from>
    <xdr:to>
      <xdr:col>8</xdr:col>
      <xdr:colOff>112059</xdr:colOff>
      <xdr:row>52</xdr:row>
      <xdr:rowOff>179293</xdr:rowOff>
    </xdr:to>
    <xdr:sp macro="" textlink="">
      <xdr:nvSpPr>
        <xdr:cNvPr id="9" name="Rectangle 8">
          <a:extLst>
            <a:ext uri="{FF2B5EF4-FFF2-40B4-BE49-F238E27FC236}">
              <a16:creationId xmlns:a16="http://schemas.microsoft.com/office/drawing/2014/main" id="{C3EE4CA8-A258-ABEE-AA70-84CB74E929EA}"/>
            </a:ext>
          </a:extLst>
        </xdr:cNvPr>
        <xdr:cNvSpPr/>
      </xdr:nvSpPr>
      <xdr:spPr>
        <a:xfrm>
          <a:off x="1479176" y="2196352"/>
          <a:ext cx="3533589" cy="730623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104586</xdr:colOff>
      <xdr:row>12</xdr:row>
      <xdr:rowOff>52294</xdr:rowOff>
    </xdr:from>
    <xdr:to>
      <xdr:col>13</xdr:col>
      <xdr:colOff>418353</xdr:colOff>
      <xdr:row>31</xdr:row>
      <xdr:rowOff>59764</xdr:rowOff>
    </xdr:to>
    <xdr:sp macro="" textlink="">
      <xdr:nvSpPr>
        <xdr:cNvPr id="10" name="Rectangle 9">
          <a:extLst>
            <a:ext uri="{FF2B5EF4-FFF2-40B4-BE49-F238E27FC236}">
              <a16:creationId xmlns:a16="http://schemas.microsoft.com/office/drawing/2014/main" id="{D30CD021-0341-4ED7-0A0B-DD95F5D6F562}"/>
            </a:ext>
          </a:extLst>
        </xdr:cNvPr>
        <xdr:cNvSpPr/>
      </xdr:nvSpPr>
      <xdr:spPr>
        <a:xfrm>
          <a:off x="5005292" y="2203823"/>
          <a:ext cx="3376708" cy="341405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400" b="1" i="1">
              <a:solidFill>
                <a:srgbClr val="C00000"/>
              </a:solidFill>
              <a:latin typeface="Aparajita" panose="02020603050405020304" pitchFamily="18" charset="0"/>
              <a:cs typeface="Aparajita" panose="02020603050405020304" pitchFamily="18" charset="0"/>
            </a:rPr>
            <a:t>Captaining Womens</a:t>
          </a:r>
          <a:r>
            <a:rPr lang="en-IN" sz="1400" b="1" i="1" baseline="0">
              <a:solidFill>
                <a:srgbClr val="C00000"/>
              </a:solidFill>
              <a:latin typeface="Aparajita" panose="02020603050405020304" pitchFamily="18" charset="0"/>
              <a:cs typeface="Aparajita" panose="02020603050405020304" pitchFamily="18" charset="0"/>
            </a:rPr>
            <a:t> Premier League[WPL] of </a:t>
          </a:r>
        </a:p>
        <a:p>
          <a:pPr algn="l"/>
          <a:r>
            <a:rPr lang="en-IN" sz="1200" baseline="0"/>
            <a:t>      </a:t>
          </a:r>
          <a:r>
            <a:rPr lang="en-IN" sz="1200" b="1" i="1" u="sng" baseline="0">
              <a:latin typeface="Aparajita" panose="02020603050405020304" pitchFamily="18" charset="0"/>
              <a:cs typeface="Aparajita" panose="02020603050405020304" pitchFamily="18" charset="0"/>
            </a:rPr>
            <a:t>ROYAL</a:t>
          </a:r>
        </a:p>
        <a:p>
          <a:pPr algn="l"/>
          <a:r>
            <a:rPr lang="en-IN" sz="1200" baseline="0"/>
            <a:t>                 </a:t>
          </a:r>
          <a:r>
            <a:rPr lang="en-IN" sz="1200" b="1" i="1" u="sng" baseline="0">
              <a:latin typeface="Aparajita" panose="02020603050405020304" pitchFamily="18" charset="0"/>
              <a:cs typeface="Aparajita" panose="02020603050405020304" pitchFamily="18" charset="0"/>
            </a:rPr>
            <a:t>CHALLENGERS</a:t>
          </a:r>
        </a:p>
        <a:p>
          <a:pPr algn="l"/>
          <a:r>
            <a:rPr lang="en-IN" sz="1200" baseline="0"/>
            <a:t>                                            </a:t>
          </a:r>
          <a:r>
            <a:rPr lang="en-IN" sz="1200" b="1" i="1" u="sng" baseline="0">
              <a:latin typeface="Aparajita" panose="02020603050405020304" pitchFamily="18" charset="0"/>
              <a:cs typeface="Aparajita" panose="02020603050405020304" pitchFamily="18" charset="0"/>
            </a:rPr>
            <a:t>BENGALURU</a:t>
          </a:r>
        </a:p>
        <a:p>
          <a:pPr algn="l"/>
          <a:r>
            <a:rPr lang="en-IN" sz="1200" baseline="0"/>
            <a:t>                                                                 </a:t>
          </a:r>
          <a:r>
            <a:rPr lang="en-IN" sz="1200" b="1" u="sng" baseline="0">
              <a:solidFill>
                <a:srgbClr val="C00000"/>
              </a:solidFill>
            </a:rPr>
            <a:t>[RCB]</a:t>
          </a:r>
          <a:endParaRPr lang="en-IN" sz="1200" b="1" u="sng">
            <a:solidFill>
              <a:srgbClr val="C00000"/>
            </a:solidFill>
          </a:endParaRPr>
        </a:p>
        <a:p>
          <a:pPr algn="l"/>
          <a:endParaRPr lang="en-IN" sz="1100"/>
        </a:p>
        <a:p>
          <a:pPr algn="l"/>
          <a:endParaRPr lang="en-IN" sz="1100"/>
        </a:p>
        <a:p>
          <a:pPr algn="l"/>
          <a:endParaRPr lang="en-IN" sz="1100"/>
        </a:p>
      </xdr:txBody>
    </xdr:sp>
    <xdr:clientData/>
  </xdr:twoCellAnchor>
  <xdr:twoCellAnchor editAs="oneCell">
    <xdr:from>
      <xdr:col>5</xdr:col>
      <xdr:colOff>134472</xdr:colOff>
      <xdr:row>7</xdr:row>
      <xdr:rowOff>130176</xdr:rowOff>
    </xdr:from>
    <xdr:to>
      <xdr:col>5</xdr:col>
      <xdr:colOff>605118</xdr:colOff>
      <xdr:row>10</xdr:row>
      <xdr:rowOff>134280</xdr:rowOff>
    </xdr:to>
    <xdr:pic>
      <xdr:nvPicPr>
        <xdr:cNvPr id="12" name="Graphic 11" descr="Line arrow: Rotate right with solid fill">
          <a:extLst>
            <a:ext uri="{FF2B5EF4-FFF2-40B4-BE49-F238E27FC236}">
              <a16:creationId xmlns:a16="http://schemas.microsoft.com/office/drawing/2014/main" id="{9B1211ED-2D49-C90D-1C88-F899115777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97413" y="1385235"/>
          <a:ext cx="470646" cy="541986"/>
        </a:xfrm>
        <a:prstGeom prst="rect">
          <a:avLst/>
        </a:prstGeom>
      </xdr:spPr>
    </xdr:pic>
    <xdr:clientData/>
  </xdr:twoCellAnchor>
  <xdr:twoCellAnchor editAs="oneCell">
    <xdr:from>
      <xdr:col>9</xdr:col>
      <xdr:colOff>104589</xdr:colOff>
      <xdr:row>8</xdr:row>
      <xdr:rowOff>40778</xdr:rowOff>
    </xdr:from>
    <xdr:to>
      <xdr:col>9</xdr:col>
      <xdr:colOff>552825</xdr:colOff>
      <xdr:row>11</xdr:row>
      <xdr:rowOff>85753</xdr:rowOff>
    </xdr:to>
    <xdr:pic>
      <xdr:nvPicPr>
        <xdr:cNvPr id="14" name="Graphic 13" descr="Run with solid fill">
          <a:extLst>
            <a:ext uri="{FF2B5EF4-FFF2-40B4-BE49-F238E27FC236}">
              <a16:creationId xmlns:a16="http://schemas.microsoft.com/office/drawing/2014/main" id="{A23DD573-1C49-0D1A-0234-D859DD7F1F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17883" y="1475131"/>
          <a:ext cx="448236" cy="582857"/>
        </a:xfrm>
        <a:prstGeom prst="rect">
          <a:avLst/>
        </a:prstGeom>
      </xdr:spPr>
    </xdr:pic>
    <xdr:clientData/>
  </xdr:twoCellAnchor>
  <xdr:oneCellAnchor>
    <xdr:from>
      <xdr:col>5</xdr:col>
      <xdr:colOff>575235</xdr:colOff>
      <xdr:row>9</xdr:row>
      <xdr:rowOff>74707</xdr:rowOff>
    </xdr:from>
    <xdr:ext cx="1352177" cy="336176"/>
    <xdr:sp macro="" textlink="">
      <xdr:nvSpPr>
        <xdr:cNvPr id="15" name="TextBox 14">
          <a:extLst>
            <a:ext uri="{FF2B5EF4-FFF2-40B4-BE49-F238E27FC236}">
              <a16:creationId xmlns:a16="http://schemas.microsoft.com/office/drawing/2014/main" id="{BC9A5D34-D13A-0165-DF49-E64A755BBA18}"/>
            </a:ext>
          </a:extLst>
        </xdr:cNvPr>
        <xdr:cNvSpPr txBox="1"/>
      </xdr:nvSpPr>
      <xdr:spPr>
        <a:xfrm>
          <a:off x="3638176" y="1688354"/>
          <a:ext cx="1352177" cy="336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0" u="none" strike="noStrike">
              <a:solidFill>
                <a:sysClr val="windowText" lastClr="000000"/>
              </a:solidFill>
              <a:effectLst/>
              <a:latin typeface="+mn-lt"/>
              <a:ea typeface="+mn-ea"/>
              <a:cs typeface="+mn-cs"/>
            </a:rPr>
            <a:t>323</a:t>
          </a:r>
          <a:r>
            <a:rPr lang="en-IN" sz="1400">
              <a:solidFill>
                <a:sysClr val="windowText" lastClr="000000"/>
              </a:solidFill>
              <a:effectLst/>
            </a:rPr>
            <a:t> </a:t>
          </a:r>
          <a:endParaRPr lang="en-IN" sz="1400">
            <a:solidFill>
              <a:sysClr val="windowText" lastClr="000000"/>
            </a:solidFill>
          </a:endParaRPr>
        </a:p>
      </xdr:txBody>
    </xdr:sp>
    <xdr:clientData/>
  </xdr:oneCellAnchor>
  <xdr:oneCellAnchor>
    <xdr:from>
      <xdr:col>9</xdr:col>
      <xdr:colOff>545354</xdr:colOff>
      <xdr:row>9</xdr:row>
      <xdr:rowOff>82177</xdr:rowOff>
    </xdr:from>
    <xdr:ext cx="1322294" cy="381000"/>
    <xdr:sp macro="" textlink="">
      <xdr:nvSpPr>
        <xdr:cNvPr id="16" name="TextBox 15">
          <a:extLst>
            <a:ext uri="{FF2B5EF4-FFF2-40B4-BE49-F238E27FC236}">
              <a16:creationId xmlns:a16="http://schemas.microsoft.com/office/drawing/2014/main" id="{2B59881C-AB0D-BA4F-3E9D-54756E606B3A}"/>
            </a:ext>
          </a:extLst>
        </xdr:cNvPr>
        <xdr:cNvSpPr txBox="1"/>
      </xdr:nvSpPr>
      <xdr:spPr>
        <a:xfrm>
          <a:off x="6058648" y="1695824"/>
          <a:ext cx="1322294"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0" u="none" strike="noStrike">
              <a:solidFill>
                <a:srgbClr val="C00000"/>
              </a:solidFill>
              <a:effectLst/>
              <a:latin typeface="Aparajita" panose="02020603050405020304" pitchFamily="18" charset="0"/>
              <a:ea typeface="+mn-ea"/>
              <a:cs typeface="Aparajita" panose="02020603050405020304" pitchFamily="18" charset="0"/>
            </a:rPr>
            <a:t>      </a:t>
          </a:r>
          <a:r>
            <a:rPr lang="en-IN" sz="1600" b="1" i="0" u="none" strike="noStrike">
              <a:solidFill>
                <a:sysClr val="windowText" lastClr="000000"/>
              </a:solidFill>
              <a:effectLst/>
              <a:latin typeface="Aparajita" panose="02020603050405020304" pitchFamily="18" charset="0"/>
              <a:ea typeface="+mn-ea"/>
              <a:cs typeface="Aparajita" panose="02020603050405020304" pitchFamily="18" charset="0"/>
            </a:rPr>
            <a:t>1781</a:t>
          </a:r>
          <a:r>
            <a:rPr lang="en-IN" sz="1600" b="1">
              <a:solidFill>
                <a:sysClr val="windowText" lastClr="000000"/>
              </a:solidFill>
              <a:effectLst/>
              <a:latin typeface="Aparajita" panose="02020603050405020304" pitchFamily="18" charset="0"/>
              <a:cs typeface="Aparajita" panose="02020603050405020304" pitchFamily="18" charset="0"/>
            </a:rPr>
            <a:t> </a:t>
          </a:r>
          <a:endParaRPr lang="en-IN" sz="1600" b="1">
            <a:solidFill>
              <a:sysClr val="windowText" lastClr="000000"/>
            </a:solidFill>
            <a:latin typeface="Aparajita" panose="02020603050405020304" pitchFamily="18" charset="0"/>
            <a:cs typeface="Aparajita" panose="02020603050405020304" pitchFamily="18" charset="0"/>
          </a:endParaRPr>
        </a:p>
      </xdr:txBody>
    </xdr:sp>
    <xdr:clientData/>
  </xdr:oneCellAnchor>
  <xdr:twoCellAnchor editAs="oneCell">
    <xdr:from>
      <xdr:col>12</xdr:col>
      <xdr:colOff>448235</xdr:colOff>
      <xdr:row>8</xdr:row>
      <xdr:rowOff>100104</xdr:rowOff>
    </xdr:from>
    <xdr:to>
      <xdr:col>13</xdr:col>
      <xdr:colOff>381000</xdr:colOff>
      <xdr:row>11</xdr:row>
      <xdr:rowOff>107575</xdr:rowOff>
    </xdr:to>
    <xdr:pic>
      <xdr:nvPicPr>
        <xdr:cNvPr id="18" name="Graphic 17" descr="Podium with solid fill">
          <a:extLst>
            <a:ext uri="{FF2B5EF4-FFF2-40B4-BE49-F238E27FC236}">
              <a16:creationId xmlns:a16="http://schemas.microsoft.com/office/drawing/2014/main" id="{F5B5942C-9AA7-6397-B7E1-680A0F05B3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9294" y="1534457"/>
          <a:ext cx="545353" cy="545353"/>
        </a:xfrm>
        <a:prstGeom prst="rect">
          <a:avLst/>
        </a:prstGeom>
      </xdr:spPr>
    </xdr:pic>
    <xdr:clientData/>
  </xdr:twoCellAnchor>
  <xdr:oneCellAnchor>
    <xdr:from>
      <xdr:col>13</xdr:col>
      <xdr:colOff>425824</xdr:colOff>
      <xdr:row>9</xdr:row>
      <xdr:rowOff>44824</xdr:rowOff>
    </xdr:from>
    <xdr:ext cx="1374587" cy="373529"/>
    <xdr:sp macro="" textlink="">
      <xdr:nvSpPr>
        <xdr:cNvPr id="19" name="TextBox 18">
          <a:extLst>
            <a:ext uri="{FF2B5EF4-FFF2-40B4-BE49-F238E27FC236}">
              <a16:creationId xmlns:a16="http://schemas.microsoft.com/office/drawing/2014/main" id="{DCDCA31D-3653-F806-CDB8-1D24F9416FAA}"/>
            </a:ext>
          </a:extLst>
        </xdr:cNvPr>
        <xdr:cNvSpPr txBox="1"/>
      </xdr:nvSpPr>
      <xdr:spPr>
        <a:xfrm>
          <a:off x="8389471" y="1658471"/>
          <a:ext cx="1374587" cy="373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0" u="none" strike="noStrike">
              <a:solidFill>
                <a:schemeClr val="tx1"/>
              </a:solidFill>
              <a:effectLst/>
              <a:latin typeface="Aparajita" panose="02020603050405020304" pitchFamily="18" charset="0"/>
              <a:ea typeface="+mn-ea"/>
              <a:cs typeface="Aparajita" panose="02020603050405020304" pitchFamily="18" charset="0"/>
            </a:rPr>
            <a:t>          26</a:t>
          </a:r>
          <a:r>
            <a:rPr lang="en-IN" sz="1600" b="1">
              <a:effectLst/>
              <a:latin typeface="Aparajita" panose="02020603050405020304" pitchFamily="18" charset="0"/>
              <a:cs typeface="Aparajita" panose="02020603050405020304" pitchFamily="18" charset="0"/>
            </a:rPr>
            <a:t> </a:t>
          </a:r>
          <a:endParaRPr lang="en-IN" sz="1600" b="1">
            <a:latin typeface="Aparajita" panose="02020603050405020304" pitchFamily="18" charset="0"/>
            <a:cs typeface="Aparajita" panose="02020603050405020304" pitchFamily="18" charset="0"/>
          </a:endParaRPr>
        </a:p>
      </xdr:txBody>
    </xdr:sp>
    <xdr:clientData/>
  </xdr:oneCellAnchor>
  <xdr:twoCellAnchor editAs="oneCell">
    <xdr:from>
      <xdr:col>16</xdr:col>
      <xdr:colOff>291353</xdr:colOff>
      <xdr:row>8</xdr:row>
      <xdr:rowOff>85163</xdr:rowOff>
    </xdr:from>
    <xdr:to>
      <xdr:col>17</xdr:col>
      <xdr:colOff>179294</xdr:colOff>
      <xdr:row>11</xdr:row>
      <xdr:rowOff>47810</xdr:rowOff>
    </xdr:to>
    <xdr:pic>
      <xdr:nvPicPr>
        <xdr:cNvPr id="21" name="Graphic 20" descr="Trophy with solid fill">
          <a:extLst>
            <a:ext uri="{FF2B5EF4-FFF2-40B4-BE49-F238E27FC236}">
              <a16:creationId xmlns:a16="http://schemas.microsoft.com/office/drawing/2014/main" id="{2A9F58FC-81F7-D9D8-AA22-1EA742402FA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092765" y="1519516"/>
          <a:ext cx="500529" cy="500529"/>
        </a:xfrm>
        <a:prstGeom prst="rect">
          <a:avLst/>
        </a:prstGeom>
      </xdr:spPr>
    </xdr:pic>
    <xdr:clientData/>
  </xdr:twoCellAnchor>
  <xdr:oneCellAnchor>
    <xdr:from>
      <xdr:col>17</xdr:col>
      <xdr:colOff>224118</xdr:colOff>
      <xdr:row>9</xdr:row>
      <xdr:rowOff>82177</xdr:rowOff>
    </xdr:from>
    <xdr:ext cx="1225176" cy="328705"/>
    <xdr:sp macro="" textlink="">
      <xdr:nvSpPr>
        <xdr:cNvPr id="22" name="TextBox 21">
          <a:extLst>
            <a:ext uri="{FF2B5EF4-FFF2-40B4-BE49-F238E27FC236}">
              <a16:creationId xmlns:a16="http://schemas.microsoft.com/office/drawing/2014/main" id="{D7590382-B619-00BF-B6A6-805825A63E4C}"/>
            </a:ext>
          </a:extLst>
        </xdr:cNvPr>
        <xdr:cNvSpPr txBox="1"/>
      </xdr:nvSpPr>
      <xdr:spPr>
        <a:xfrm>
          <a:off x="10638118" y="1695824"/>
          <a:ext cx="1225176" cy="328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1" u="none" strike="noStrike">
              <a:solidFill>
                <a:sysClr val="windowText" lastClr="000000"/>
              </a:solidFill>
              <a:effectLst/>
              <a:latin typeface="Aparajita" panose="02020603050405020304" pitchFamily="18" charset="0"/>
              <a:ea typeface="+mn-ea"/>
              <a:cs typeface="Aparajita" panose="02020603050405020304" pitchFamily="18" charset="0"/>
            </a:rPr>
            <a:t>26</a:t>
          </a:r>
          <a:r>
            <a:rPr lang="en-IN" sz="1600" b="1" i="1">
              <a:solidFill>
                <a:sysClr val="windowText" lastClr="000000"/>
              </a:solidFill>
              <a:effectLst/>
              <a:latin typeface="Aparajita" panose="02020603050405020304" pitchFamily="18" charset="0"/>
              <a:cs typeface="Aparajita" panose="02020603050405020304" pitchFamily="18" charset="0"/>
            </a:rPr>
            <a:t> </a:t>
          </a:r>
          <a:endParaRPr lang="en-IN" sz="1600" b="1" i="1">
            <a:solidFill>
              <a:sysClr val="windowText" lastClr="000000"/>
            </a:solidFill>
            <a:latin typeface="Aparajita" panose="02020603050405020304" pitchFamily="18" charset="0"/>
            <a:cs typeface="Aparajita" panose="02020603050405020304" pitchFamily="18" charset="0"/>
          </a:endParaRPr>
        </a:p>
      </xdr:txBody>
    </xdr:sp>
    <xdr:clientData/>
  </xdr:oneCellAnchor>
  <xdr:twoCellAnchor>
    <xdr:from>
      <xdr:col>2</xdr:col>
      <xdr:colOff>291353</xdr:colOff>
      <xdr:row>12</xdr:row>
      <xdr:rowOff>74706</xdr:rowOff>
    </xdr:from>
    <xdr:to>
      <xdr:col>8</xdr:col>
      <xdr:colOff>37353</xdr:colOff>
      <xdr:row>23</xdr:row>
      <xdr:rowOff>156882</xdr:rowOff>
    </xdr:to>
    <xdr:graphicFrame macro="">
      <xdr:nvGraphicFramePr>
        <xdr:cNvPr id="23" name="Chart 22">
          <a:extLst>
            <a:ext uri="{FF2B5EF4-FFF2-40B4-BE49-F238E27FC236}">
              <a16:creationId xmlns:a16="http://schemas.microsoft.com/office/drawing/2014/main" id="{BDD3F9BF-416D-4D5F-A1B8-AC4EAA72C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291353</xdr:colOff>
      <xdr:row>24</xdr:row>
      <xdr:rowOff>14941</xdr:rowOff>
    </xdr:from>
    <xdr:to>
      <xdr:col>8</xdr:col>
      <xdr:colOff>52295</xdr:colOff>
      <xdr:row>38</xdr:row>
      <xdr:rowOff>14941</xdr:rowOff>
    </xdr:to>
    <xdr:graphicFrame macro="">
      <xdr:nvGraphicFramePr>
        <xdr:cNvPr id="24" name="Chart 23">
          <a:extLst>
            <a:ext uri="{FF2B5EF4-FFF2-40B4-BE49-F238E27FC236}">
              <a16:creationId xmlns:a16="http://schemas.microsoft.com/office/drawing/2014/main" id="{592518C0-32E6-4F66-A5D2-453329CBE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276412</xdr:colOff>
      <xdr:row>38</xdr:row>
      <xdr:rowOff>44824</xdr:rowOff>
    </xdr:from>
    <xdr:to>
      <xdr:col>8</xdr:col>
      <xdr:colOff>59765</xdr:colOff>
      <xdr:row>52</xdr:row>
      <xdr:rowOff>149412</xdr:rowOff>
    </xdr:to>
    <xdr:graphicFrame macro="">
      <xdr:nvGraphicFramePr>
        <xdr:cNvPr id="25" name="Chart 24">
          <a:extLst>
            <a:ext uri="{FF2B5EF4-FFF2-40B4-BE49-F238E27FC236}">
              <a16:creationId xmlns:a16="http://schemas.microsoft.com/office/drawing/2014/main" id="{59B3D8BC-D167-4E19-BCDC-08DC0874D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149412</xdr:colOff>
      <xdr:row>12</xdr:row>
      <xdr:rowOff>97120</xdr:rowOff>
    </xdr:from>
    <xdr:to>
      <xdr:col>13</xdr:col>
      <xdr:colOff>373529</xdr:colOff>
      <xdr:row>24</xdr:row>
      <xdr:rowOff>44474</xdr:rowOff>
    </xdr:to>
    <xdr:pic>
      <xdr:nvPicPr>
        <xdr:cNvPr id="26" name="Picture 25">
          <a:extLst>
            <a:ext uri="{FF2B5EF4-FFF2-40B4-BE49-F238E27FC236}">
              <a16:creationId xmlns:a16="http://schemas.microsoft.com/office/drawing/2014/main" id="{9A8792F2-BEE0-E2AB-E6ED-9281CD519E90}"/>
            </a:ext>
          </a:extLst>
        </xdr:cNvPr>
        <xdr:cNvPicPr>
          <a:picLocks noChangeAspect="1"/>
        </xdr:cNvPicPr>
      </xdr:nvPicPr>
      <xdr:blipFill>
        <a:blip xmlns:r="http://schemas.openxmlformats.org/officeDocument/2006/relationships" r:embed="rId12"/>
        <a:stretch>
          <a:fillRect/>
        </a:stretch>
      </xdr:blipFill>
      <xdr:spPr>
        <a:xfrm>
          <a:off x="5050118" y="2248649"/>
          <a:ext cx="3287058" cy="2098884"/>
        </a:xfrm>
        <a:prstGeom prst="rect">
          <a:avLst/>
        </a:prstGeom>
      </xdr:spPr>
    </xdr:pic>
    <xdr:clientData/>
  </xdr:twoCellAnchor>
  <xdr:twoCellAnchor>
    <xdr:from>
      <xdr:col>21</xdr:col>
      <xdr:colOff>373529</xdr:colOff>
      <xdr:row>4</xdr:row>
      <xdr:rowOff>127002</xdr:rowOff>
    </xdr:from>
    <xdr:to>
      <xdr:col>24</xdr:col>
      <xdr:colOff>545354</xdr:colOff>
      <xdr:row>31</xdr:row>
      <xdr:rowOff>112060</xdr:rowOff>
    </xdr:to>
    <xdr:sp macro="" textlink="">
      <xdr:nvSpPr>
        <xdr:cNvPr id="27" name="Rectangle 26">
          <a:extLst>
            <a:ext uri="{FF2B5EF4-FFF2-40B4-BE49-F238E27FC236}">
              <a16:creationId xmlns:a16="http://schemas.microsoft.com/office/drawing/2014/main" id="{540DA447-B94B-682C-7797-8E25D009E4BF}"/>
            </a:ext>
          </a:extLst>
        </xdr:cNvPr>
        <xdr:cNvSpPr/>
      </xdr:nvSpPr>
      <xdr:spPr>
        <a:xfrm>
          <a:off x="13237882" y="844178"/>
          <a:ext cx="2009590" cy="48260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463176</xdr:colOff>
      <xdr:row>12</xdr:row>
      <xdr:rowOff>59766</xdr:rowOff>
    </xdr:from>
    <xdr:to>
      <xdr:col>21</xdr:col>
      <xdr:colOff>321235</xdr:colOff>
      <xdr:row>31</xdr:row>
      <xdr:rowOff>67235</xdr:rowOff>
    </xdr:to>
    <xdr:sp macro="" textlink="">
      <xdr:nvSpPr>
        <xdr:cNvPr id="28" name="Rectangle 27">
          <a:extLst>
            <a:ext uri="{FF2B5EF4-FFF2-40B4-BE49-F238E27FC236}">
              <a16:creationId xmlns:a16="http://schemas.microsoft.com/office/drawing/2014/main" id="{3C51EA64-C8F0-A0ED-C3FF-32FF0FE7F412}"/>
            </a:ext>
          </a:extLst>
        </xdr:cNvPr>
        <xdr:cNvSpPr/>
      </xdr:nvSpPr>
      <xdr:spPr>
        <a:xfrm>
          <a:off x="8426823" y="2211295"/>
          <a:ext cx="4758765" cy="34140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543718</xdr:colOff>
      <xdr:row>12</xdr:row>
      <xdr:rowOff>109024</xdr:rowOff>
    </xdr:from>
    <xdr:to>
      <xdr:col>21</xdr:col>
      <xdr:colOff>319601</xdr:colOff>
      <xdr:row>31</xdr:row>
      <xdr:rowOff>19377</xdr:rowOff>
    </xdr:to>
    <xdr:graphicFrame macro="">
      <xdr:nvGraphicFramePr>
        <xdr:cNvPr id="29" name="Chart 28">
          <a:extLst>
            <a:ext uri="{FF2B5EF4-FFF2-40B4-BE49-F238E27FC236}">
              <a16:creationId xmlns:a16="http://schemas.microsoft.com/office/drawing/2014/main" id="{3AEB7F47-F575-43DF-B27E-71505C82B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164354</xdr:colOff>
      <xdr:row>31</xdr:row>
      <xdr:rowOff>112057</xdr:rowOff>
    </xdr:from>
    <xdr:to>
      <xdr:col>13</xdr:col>
      <xdr:colOff>485589</xdr:colOff>
      <xdr:row>44</xdr:row>
      <xdr:rowOff>149411</xdr:rowOff>
    </xdr:to>
    <xdr:sp macro="" textlink="">
      <xdr:nvSpPr>
        <xdr:cNvPr id="30" name="Rectangle 29">
          <a:extLst>
            <a:ext uri="{FF2B5EF4-FFF2-40B4-BE49-F238E27FC236}">
              <a16:creationId xmlns:a16="http://schemas.microsoft.com/office/drawing/2014/main" id="{BCCA3DCB-9E2A-A2A0-7397-8F61C69C11D1}"/>
            </a:ext>
          </a:extLst>
        </xdr:cNvPr>
        <xdr:cNvSpPr/>
      </xdr:nvSpPr>
      <xdr:spPr>
        <a:xfrm>
          <a:off x="5065060" y="5670175"/>
          <a:ext cx="3384176" cy="2368177"/>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530860</xdr:colOff>
      <xdr:row>31</xdr:row>
      <xdr:rowOff>104887</xdr:rowOff>
    </xdr:from>
    <xdr:to>
      <xdr:col>19</xdr:col>
      <xdr:colOff>239507</xdr:colOff>
      <xdr:row>44</xdr:row>
      <xdr:rowOff>142241</xdr:rowOff>
    </xdr:to>
    <xdr:sp macro="" textlink="">
      <xdr:nvSpPr>
        <xdr:cNvPr id="31" name="Rectangle 30">
          <a:extLst>
            <a:ext uri="{FF2B5EF4-FFF2-40B4-BE49-F238E27FC236}">
              <a16:creationId xmlns:a16="http://schemas.microsoft.com/office/drawing/2014/main" id="{49771CDD-FF6E-4A0D-9575-922BA9A8774E}"/>
            </a:ext>
          </a:extLst>
        </xdr:cNvPr>
        <xdr:cNvSpPr/>
      </xdr:nvSpPr>
      <xdr:spPr>
        <a:xfrm>
          <a:off x="8494507" y="5663005"/>
          <a:ext cx="3384176" cy="2368177"/>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276859</xdr:colOff>
      <xdr:row>31</xdr:row>
      <xdr:rowOff>104888</xdr:rowOff>
    </xdr:from>
    <xdr:to>
      <xdr:col>24</xdr:col>
      <xdr:colOff>598093</xdr:colOff>
      <xdr:row>44</xdr:row>
      <xdr:rowOff>164353</xdr:rowOff>
    </xdr:to>
    <xdr:sp macro="" textlink="">
      <xdr:nvSpPr>
        <xdr:cNvPr id="32" name="Rectangle 31">
          <a:extLst>
            <a:ext uri="{FF2B5EF4-FFF2-40B4-BE49-F238E27FC236}">
              <a16:creationId xmlns:a16="http://schemas.microsoft.com/office/drawing/2014/main" id="{A2167632-A3C5-48AD-A1AD-AC4BD047255B}"/>
            </a:ext>
          </a:extLst>
        </xdr:cNvPr>
        <xdr:cNvSpPr/>
      </xdr:nvSpPr>
      <xdr:spPr>
        <a:xfrm>
          <a:off x="11916035" y="5663006"/>
          <a:ext cx="3384176" cy="239028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194234</xdr:colOff>
      <xdr:row>31</xdr:row>
      <xdr:rowOff>112057</xdr:rowOff>
    </xdr:from>
    <xdr:to>
      <xdr:col>13</xdr:col>
      <xdr:colOff>500528</xdr:colOff>
      <xdr:row>44</xdr:row>
      <xdr:rowOff>134471</xdr:rowOff>
    </xdr:to>
    <xdr:graphicFrame macro="">
      <xdr:nvGraphicFramePr>
        <xdr:cNvPr id="33" name="Chart 32">
          <a:extLst>
            <a:ext uri="{FF2B5EF4-FFF2-40B4-BE49-F238E27FC236}">
              <a16:creationId xmlns:a16="http://schemas.microsoft.com/office/drawing/2014/main" id="{F19B8AA5-389C-43E7-A071-5FAA5DC00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298823</xdr:colOff>
      <xdr:row>31</xdr:row>
      <xdr:rowOff>141940</xdr:rowOff>
    </xdr:from>
    <xdr:to>
      <xdr:col>24</xdr:col>
      <xdr:colOff>552823</xdr:colOff>
      <xdr:row>44</xdr:row>
      <xdr:rowOff>134471</xdr:rowOff>
    </xdr:to>
    <xdr:graphicFrame macro="">
      <xdr:nvGraphicFramePr>
        <xdr:cNvPr id="35" name="Chart 34">
          <a:extLst>
            <a:ext uri="{FF2B5EF4-FFF2-40B4-BE49-F238E27FC236}">
              <a16:creationId xmlns:a16="http://schemas.microsoft.com/office/drawing/2014/main" id="{AEBF1A92-13E5-4E7A-ACB1-90EE43521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560295</xdr:colOff>
      <xdr:row>31</xdr:row>
      <xdr:rowOff>149412</xdr:rowOff>
    </xdr:from>
    <xdr:to>
      <xdr:col>19</xdr:col>
      <xdr:colOff>224118</xdr:colOff>
      <xdr:row>44</xdr:row>
      <xdr:rowOff>104588</xdr:rowOff>
    </xdr:to>
    <xdr:graphicFrame macro="">
      <xdr:nvGraphicFramePr>
        <xdr:cNvPr id="36" name="Chart 35">
          <a:extLst>
            <a:ext uri="{FF2B5EF4-FFF2-40B4-BE49-F238E27FC236}">
              <a16:creationId xmlns:a16="http://schemas.microsoft.com/office/drawing/2014/main" id="{47986856-9F25-4DFB-BB89-5A6FDC87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149411</xdr:colOff>
      <xdr:row>45</xdr:row>
      <xdr:rowOff>14943</xdr:rowOff>
    </xdr:from>
    <xdr:to>
      <xdr:col>17</xdr:col>
      <xdr:colOff>540152</xdr:colOff>
      <xdr:row>53</xdr:row>
      <xdr:rowOff>28936</xdr:rowOff>
    </xdr:to>
    <xdr:sp macro="" textlink="">
      <xdr:nvSpPr>
        <xdr:cNvPr id="37" name="Rectangle 36">
          <a:extLst>
            <a:ext uri="{FF2B5EF4-FFF2-40B4-BE49-F238E27FC236}">
              <a16:creationId xmlns:a16="http://schemas.microsoft.com/office/drawing/2014/main" id="{3AA34134-515D-4AC3-D0B6-EC6BD0D48510}"/>
            </a:ext>
          </a:extLst>
        </xdr:cNvPr>
        <xdr:cNvSpPr/>
      </xdr:nvSpPr>
      <xdr:spPr>
        <a:xfrm>
          <a:off x="5010778" y="8261905"/>
          <a:ext cx="5859779" cy="1480120"/>
        </a:xfrm>
        <a:prstGeom prst="rect">
          <a:avLst/>
        </a:prstGeom>
        <a:ln>
          <a:solidFill>
            <a:srgbClr val="C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21</xdr:col>
      <xdr:colOff>463176</xdr:colOff>
      <xdr:row>4</xdr:row>
      <xdr:rowOff>171826</xdr:rowOff>
    </xdr:from>
    <xdr:to>
      <xdr:col>24</xdr:col>
      <xdr:colOff>437799</xdr:colOff>
      <xdr:row>16</xdr:row>
      <xdr:rowOff>28937</xdr:rowOff>
    </xdr:to>
    <mc:AlternateContent xmlns:mc="http://schemas.openxmlformats.org/markup-compatibility/2006" xmlns:a14="http://schemas.microsoft.com/office/drawing/2010/main">
      <mc:Choice Requires="a14">
        <xdr:graphicFrame macro="">
          <xdr:nvGraphicFramePr>
            <xdr:cNvPr id="38" name="Format 1">
              <a:extLst>
                <a:ext uri="{FF2B5EF4-FFF2-40B4-BE49-F238E27FC236}">
                  <a16:creationId xmlns:a16="http://schemas.microsoft.com/office/drawing/2014/main" id="{19D274DD-8A9B-463A-ADB5-5536564C91E2}"/>
                </a:ext>
              </a:extLst>
            </xdr:cNvPr>
            <xdr:cNvGraphicFramePr/>
          </xdr:nvGraphicFramePr>
          <xdr:xfrm>
            <a:off x="0" y="0"/>
            <a:ext cx="0" cy="0"/>
          </xdr:xfrm>
          <a:graphic>
            <a:graphicData uri="http://schemas.microsoft.com/office/drawing/2010/slicer">
              <sle:slicer xmlns:sle="http://schemas.microsoft.com/office/drawing/2010/slicer" name="Format 1"/>
            </a:graphicData>
          </a:graphic>
        </xdr:graphicFrame>
      </mc:Choice>
      <mc:Fallback xmlns="">
        <xdr:sp macro="" textlink="">
          <xdr:nvSpPr>
            <xdr:cNvPr id="0" name=""/>
            <xdr:cNvSpPr>
              <a:spLocks noTextEdit="1"/>
            </xdr:cNvSpPr>
          </xdr:nvSpPr>
          <xdr:spPr>
            <a:xfrm>
              <a:off x="13214770" y="886201"/>
              <a:ext cx="1796279" cy="2000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465350</xdr:colOff>
      <xdr:row>16</xdr:row>
      <xdr:rowOff>144685</xdr:rowOff>
    </xdr:from>
    <xdr:to>
      <xdr:col>24</xdr:col>
      <xdr:colOff>456385</xdr:colOff>
      <xdr:row>31</xdr:row>
      <xdr:rowOff>23529</xdr:rowOff>
    </xdr:to>
    <mc:AlternateContent xmlns:mc="http://schemas.openxmlformats.org/markup-compatibility/2006" xmlns:a14="http://schemas.microsoft.com/office/drawing/2010/main">
      <mc:Choice Requires="a14">
        <xdr:graphicFrame macro="">
          <xdr:nvGraphicFramePr>
            <xdr:cNvPr id="39" name="Opponent 1">
              <a:extLst>
                <a:ext uri="{FF2B5EF4-FFF2-40B4-BE49-F238E27FC236}">
                  <a16:creationId xmlns:a16="http://schemas.microsoft.com/office/drawing/2014/main" id="{C6547719-58B9-4F55-903C-1D52F65C66FF}"/>
                </a:ext>
              </a:extLst>
            </xdr:cNvPr>
            <xdr:cNvGraphicFramePr/>
          </xdr:nvGraphicFramePr>
          <xdr:xfrm>
            <a:off x="0" y="0"/>
            <a:ext cx="0" cy="0"/>
          </xdr:xfrm>
          <a:graphic>
            <a:graphicData uri="http://schemas.microsoft.com/office/drawing/2010/slicer">
              <sle:slicer xmlns:sle="http://schemas.microsoft.com/office/drawing/2010/slicer" name="Opponent 1"/>
            </a:graphicData>
          </a:graphic>
        </xdr:graphicFrame>
      </mc:Choice>
      <mc:Fallback xmlns="">
        <xdr:sp macro="" textlink="">
          <xdr:nvSpPr>
            <xdr:cNvPr id="0" name=""/>
            <xdr:cNvSpPr>
              <a:spLocks noTextEdit="1"/>
            </xdr:cNvSpPr>
          </xdr:nvSpPr>
          <xdr:spPr>
            <a:xfrm>
              <a:off x="13216944" y="3002185"/>
              <a:ext cx="1812691" cy="255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171821</xdr:colOff>
      <xdr:row>45</xdr:row>
      <xdr:rowOff>37354</xdr:rowOff>
    </xdr:from>
    <xdr:to>
      <xdr:col>17</xdr:col>
      <xdr:colOff>478119</xdr:colOff>
      <xdr:row>52</xdr:row>
      <xdr:rowOff>149412</xdr:rowOff>
    </xdr:to>
    <mc:AlternateContent xmlns:mc="http://schemas.openxmlformats.org/markup-compatibility/2006" xmlns:tsle="http://schemas.microsoft.com/office/drawing/2012/timeslicer">
      <mc:Choice Requires="tsle">
        <xdr:graphicFrame macro="">
          <xdr:nvGraphicFramePr>
            <xdr:cNvPr id="40" name="Date 1">
              <a:extLst>
                <a:ext uri="{FF2B5EF4-FFF2-40B4-BE49-F238E27FC236}">
                  <a16:creationId xmlns:a16="http://schemas.microsoft.com/office/drawing/2014/main" id="{7982C8B0-B64D-41FE-A278-FBF449EA346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029571" y="8074073"/>
              <a:ext cx="5771267" cy="13622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588380</xdr:colOff>
      <xdr:row>45</xdr:row>
      <xdr:rowOff>38582</xdr:rowOff>
    </xdr:from>
    <xdr:to>
      <xdr:col>24</xdr:col>
      <xdr:colOff>598026</xdr:colOff>
      <xdr:row>53</xdr:row>
      <xdr:rowOff>19291</xdr:rowOff>
    </xdr:to>
    <xdr:sp macro="" textlink="">
      <xdr:nvSpPr>
        <xdr:cNvPr id="42" name="Rectangle 41">
          <a:extLst>
            <a:ext uri="{FF2B5EF4-FFF2-40B4-BE49-F238E27FC236}">
              <a16:creationId xmlns:a16="http://schemas.microsoft.com/office/drawing/2014/main" id="{CBE8F2DA-5BA7-5034-D112-F850CDBFA8EF}"/>
            </a:ext>
          </a:extLst>
        </xdr:cNvPr>
        <xdr:cNvSpPr/>
      </xdr:nvSpPr>
      <xdr:spPr>
        <a:xfrm>
          <a:off x="10918785" y="8285544"/>
          <a:ext cx="4263342" cy="1446836"/>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8800" b="1" i="1">
              <a:solidFill>
                <a:srgbClr val="C00000"/>
              </a:solidFill>
              <a:effectLst>
                <a:reflection blurRad="6350" stA="55000" endA="300" endPos="45500" dir="5400000" sy="-100000" algn="bl" rotWithShape="0"/>
              </a:effectLst>
              <a:latin typeface="Aparajita" panose="02020603050405020304" pitchFamily="18" charset="0"/>
              <a:cs typeface="Aparajita" panose="02020603050405020304" pitchFamily="18" charset="0"/>
            </a:rPr>
            <a:t>CRICKET</a:t>
          </a:r>
        </a:p>
      </xdr:txBody>
    </xdr:sp>
    <xdr:clientData/>
  </xdr:twoCellAnchor>
  <xdr:twoCellAnchor editAs="oneCell">
    <xdr:from>
      <xdr:col>2</xdr:col>
      <xdr:colOff>308660</xdr:colOff>
      <xdr:row>4</xdr:row>
      <xdr:rowOff>125393</xdr:rowOff>
    </xdr:from>
    <xdr:to>
      <xdr:col>5</xdr:col>
      <xdr:colOff>28938</xdr:colOff>
      <xdr:row>12</xdr:row>
      <xdr:rowOff>0</xdr:rowOff>
    </xdr:to>
    <xdr:pic>
      <xdr:nvPicPr>
        <xdr:cNvPr id="43" name="Picture 42">
          <a:extLst>
            <a:ext uri="{FF2B5EF4-FFF2-40B4-BE49-F238E27FC236}">
              <a16:creationId xmlns:a16="http://schemas.microsoft.com/office/drawing/2014/main" id="{4F3800BE-0ED0-A01C-96CF-F8E16B85F25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24002" y="858456"/>
          <a:ext cx="1543290" cy="1340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183268</xdr:colOff>
      <xdr:row>4</xdr:row>
      <xdr:rowOff>82121</xdr:rowOff>
    </xdr:from>
    <xdr:to>
      <xdr:col>16</xdr:col>
      <xdr:colOff>202559</xdr:colOff>
      <xdr:row>7</xdr:row>
      <xdr:rowOff>115746</xdr:rowOff>
    </xdr:to>
    <xdr:pic>
      <xdr:nvPicPr>
        <xdr:cNvPr id="45" name="Graphic 44" descr="Angel face with solid fill with solid fill">
          <a:extLst>
            <a:ext uri="{FF2B5EF4-FFF2-40B4-BE49-F238E27FC236}">
              <a16:creationId xmlns:a16="http://schemas.microsoft.com/office/drawing/2014/main" id="{B4F009D5-A42F-8A7F-B597-C67F148CB34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298331" y="815184"/>
          <a:ext cx="626962" cy="5834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itha likitha" refreshedDate="46092.622879976851" createdVersion="8" refreshedVersion="8" minRefreshableVersion="3" recordCount="26" xr:uid="{BC6A6415-7A5B-4829-9930-7773E7E0E4AE}">
  <cacheSource type="worksheet">
    <worksheetSource name="Table1"/>
  </cacheSource>
  <cacheFields count="15">
    <cacheField name="Date" numFmtId="14">
      <sharedItems containsSemiMixedTypes="0" containsNonDate="0" containsDate="1" containsString="0" minDate="2022-06-18T00:00:00" maxDate="2026-03-02T00:00:00" count="26">
        <d v="2026-03-01T00:00:00"/>
        <d v="2026-02-27T00:00:00"/>
        <d v="2026-02-24T00:00:00"/>
        <d v="2026-02-21T00:00:00"/>
        <d v="2026-02-19T00:00:00"/>
        <d v="2026-02-15T00:00:00"/>
        <d v="2026-02-05T00:00:00"/>
        <d v="2026-01-29T00:00:00"/>
        <d v="2026-01-26T00:00:00"/>
        <d v="2026-01-17T00:00:00"/>
        <d v="2025-11-02T00:00:00"/>
        <d v="2025-07-12T00:00:00"/>
        <d v="2024-06-28T00:00:00"/>
        <d v="2024-03-15T00:00:00"/>
        <d v="2024-02-25T00:00:00"/>
        <d v="2024-01-22T00:00:00"/>
        <d v="2023-11-05T00:00:00"/>
        <d v="2023-10-29T00:00:00"/>
        <d v="2023-08-20T00:00:00"/>
        <d v="2023-07-10T00:00:00"/>
        <d v="2023-05-12T00:00:00"/>
        <d v="2023-03-18T00:00:00"/>
        <d v="2023-01-28T00:00:00"/>
        <d v="2022-12-15T00:00:00"/>
        <d v="2022-08-14T00:00:00"/>
        <d v="2022-06-18T00:00:00"/>
      </sharedItems>
      <fieldGroup par="14"/>
    </cacheField>
    <cacheField name="Format" numFmtId="0">
      <sharedItems count="4">
        <s v="ODI"/>
        <s v="T20I"/>
        <s v="WPL"/>
        <s v="Test"/>
      </sharedItems>
    </cacheField>
    <cacheField name="Opponent" numFmtId="0">
      <sharedItems count="8">
        <s v="AUSW(Australia)"/>
        <s v="DCW(Delhi)"/>
        <s v="UPW(UP)"/>
        <s v="MIW(Mumbai)"/>
        <s v="SAW(South Africa)"/>
        <s v="ENGW(England)"/>
        <s v="WIW(West Indies)"/>
        <s v="NZW(New Zealand)"/>
      </sharedItems>
    </cacheField>
    <cacheField name="Venue" numFmtId="0">
      <sharedItems count="17">
        <s v="Hobart"/>
        <s v="Brisbane"/>
        <s v="Adelaide"/>
        <s v="Canberra"/>
        <s v="Sydney"/>
        <s v="Vadodara"/>
        <s v="Navi Mumbai"/>
        <s v="Lucknow"/>
        <s v="London"/>
        <s v="Chennai"/>
        <s v="Bengaluru"/>
        <s v="Mumbai"/>
        <s v="Delhi"/>
        <s v="Port of Spain"/>
        <s v="Auckland"/>
        <s v="Melbourne"/>
        <s v="Hamilton"/>
      </sharedItems>
    </cacheField>
    <cacheField name="Runs" numFmtId="0">
      <sharedItems containsMixedTypes="1" containsNumber="1" containsInteger="1" minValue="0" maxValue="149" count="23">
        <n v="0"/>
        <n v="31"/>
        <n v="58"/>
        <n v="82"/>
        <s v="16*"/>
        <n v="87"/>
        <s v="54*"/>
        <n v="6"/>
        <n v="96"/>
        <n v="72"/>
        <n v="45"/>
        <n v="149"/>
        <n v="74"/>
        <n v="88"/>
        <n v="71"/>
        <n v="114"/>
        <n v="67"/>
        <n v="105"/>
        <n v="85"/>
        <n v="112"/>
        <n v="79"/>
        <n v="106"/>
        <n v="77"/>
      </sharedItems>
    </cacheField>
    <cacheField name="Balls" numFmtId="0">
      <sharedItems containsSemiMixedTypes="0" containsString="0" containsNumber="1" containsInteger="1" minValue="4" maxValue="234"/>
    </cacheField>
    <cacheField name="SR" numFmtId="0">
      <sharedItems containsSemiMixedTypes="0" containsString="0" containsNumber="1" minValue="0" maxValue="212.2" count="26">
        <n v="0"/>
        <n v="83.7"/>
        <n v="85.2"/>
        <n v="149"/>
        <n v="129.1"/>
        <n v="94.1"/>
        <n v="212.2"/>
        <n v="200"/>
        <n v="85.7"/>
        <n v="157.30000000000001"/>
        <n v="81.8"/>
        <n v="125"/>
        <n v="63.6"/>
        <n v="145"/>
        <n v="157.1"/>
        <n v="147.9"/>
        <n v="86.4"/>
        <n v="148.9"/>
        <n v="142.30000000000001"/>
        <n v="89"/>
        <n v="149.1"/>
        <n v="144"/>
        <n v="90.3"/>
        <n v="143.6"/>
        <n v="87.6"/>
        <n v="148.1"/>
      </sharedItems>
    </cacheField>
    <cacheField name="4s" numFmtId="0">
      <sharedItems containsSemiMixedTypes="0" containsString="0" containsNumber="1" containsInteger="1" minValue="0" maxValue="18"/>
    </cacheField>
    <cacheField name="6s" numFmtId="0">
      <sharedItems containsSemiMixedTypes="0" containsString="0" containsNumber="1" containsInteger="1" minValue="0" maxValue="3"/>
    </cacheField>
    <cacheField name="Award" numFmtId="0">
      <sharedItems count="2">
        <s v="No Award"/>
        <s v="Player of the Match"/>
      </sharedItems>
    </cacheField>
    <cacheField name="Result" numFmtId="0">
      <sharedItems count="3">
        <s v="Loss"/>
        <s v="Win"/>
        <s v="Draw"/>
      </sharedItems>
    </cacheField>
    <cacheField name="Tournament" numFmtId="0">
      <sharedItems count="12">
        <s v="India vs Australia ODI Series"/>
        <s v="India vs Australia T20I Series"/>
        <s v="WPL Season 3"/>
        <s v="India vs South Africa ODI Series"/>
        <s v="India vs England T20I Series"/>
        <s v="India vs South Africa Test Series"/>
        <s v="WPL Season 2"/>
        <s v="India vs England ODI Series"/>
        <s v="India vs West Indies T20I Series"/>
        <s v="India vs New Zealand ODI Series"/>
        <s v="WPL Season 1"/>
        <s v="WPL Exhibition Matches"/>
      </sharedItems>
    </cacheField>
    <cacheField name="Months (Date)" numFmtId="0" databaseField="0">
      <fieldGroup base="0">
        <rangePr groupBy="months" startDate="2022-06-18T00:00:00" endDate="2026-03-02T00:00:00"/>
        <groupItems count="14">
          <s v="&lt;18-06-2022"/>
          <s v="Jan"/>
          <s v="Feb"/>
          <s v="Mar"/>
          <s v="Apr"/>
          <s v="May"/>
          <s v="Jun"/>
          <s v="Jul"/>
          <s v="Aug"/>
          <s v="Sep"/>
          <s v="Oct"/>
          <s v="Nov"/>
          <s v="Dec"/>
          <s v="&gt;02-03-2026"/>
        </groupItems>
      </fieldGroup>
    </cacheField>
    <cacheField name="Quarters (Date)" numFmtId="0" databaseField="0">
      <fieldGroup base="0">
        <rangePr groupBy="quarters" startDate="2022-06-18T00:00:00" endDate="2026-03-02T00:00:00"/>
        <groupItems count="6">
          <s v="&lt;18-06-2022"/>
          <s v="Qtr1"/>
          <s v="Qtr2"/>
          <s v="Qtr3"/>
          <s v="Qtr4"/>
          <s v="&gt;02-03-2026"/>
        </groupItems>
      </fieldGroup>
    </cacheField>
    <cacheField name="Years (Date)" numFmtId="0" databaseField="0">
      <fieldGroup base="0">
        <rangePr groupBy="years" startDate="2022-06-18T00:00:00" endDate="2026-03-02T00:00:00"/>
        <groupItems count="7">
          <s v="&lt;18-06-2022"/>
          <s v="2022"/>
          <s v="2023"/>
          <s v="2024"/>
          <s v="2025"/>
          <s v="2026"/>
          <s v="&gt;02-03-2026"/>
        </groupItems>
      </fieldGroup>
    </cacheField>
  </cacheFields>
  <extLst>
    <ext xmlns:x14="http://schemas.microsoft.com/office/spreadsheetml/2009/9/main" uri="{725AE2AE-9491-48be-B2B4-4EB974FC3084}">
      <x14:pivotCacheDefinition pivotCacheId="17988459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itha likitha" refreshedDate="46092.647640740739" createdVersion="8" refreshedVersion="8" minRefreshableVersion="3" recordCount="4" xr:uid="{D84A6946-1245-4B3C-96C7-57F7713AA186}">
  <cacheSource type="worksheet">
    <worksheetSource name="Table6"/>
  </cacheSource>
  <cacheFields count="8">
    <cacheField name="Format" numFmtId="0">
      <sharedItems count="4">
        <s v="ODI"/>
        <s v="T20I"/>
        <s v="Test"/>
        <s v="WPL"/>
      </sharedItems>
    </cacheField>
    <cacheField name="Matches" numFmtId="0">
      <sharedItems containsSemiMixedTypes="0" containsString="0" containsNumber="1" containsInteger="1" minValue="8" maxValue="160"/>
    </cacheField>
    <cacheField name="Runs" numFmtId="0">
      <sharedItems containsSemiMixedTypes="0" containsString="0" containsNumber="1" containsInteger="1" minValue="635" maxValue="5411"/>
    </cacheField>
    <cacheField name="Average" numFmtId="0">
      <sharedItems containsSemiMixedTypes="0" containsString="0" containsNumber="1" minValue="30.4" maxValue="48.9"/>
    </cacheField>
    <cacheField name="Strike Rate" numFmtId="0">
      <sharedItems containsSemiMixedTypes="0" containsString="0" containsNumber="1" minValue="63.4" maxValue="136.80000000000001"/>
    </cacheField>
    <cacheField name="100s" numFmtId="0">
      <sharedItems containsSemiMixedTypes="0" containsString="0" containsNumber="1" containsInteger="1" minValue="0" maxValue="14"/>
    </cacheField>
    <cacheField name="50s" numFmtId="0">
      <sharedItems containsSemiMixedTypes="0" containsString="0" containsNumber="1" containsInteger="1" minValue="3" maxValue="35"/>
    </cacheField>
    <cacheField name="Awards" numFmtId="0">
      <sharedItems count="4">
        <s v="Player of the Match x 20"/>
        <s v="Player of the Match x 15"/>
        <s v="Player of the Match x 2"/>
        <s v="Player of the Match x 1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x v="0"/>
    <x v="0"/>
    <x v="0"/>
    <n v="4"/>
    <x v="0"/>
    <n v="0"/>
    <n v="0"/>
    <x v="0"/>
    <x v="0"/>
    <x v="0"/>
  </r>
  <r>
    <x v="1"/>
    <x v="0"/>
    <x v="0"/>
    <x v="0"/>
    <x v="1"/>
    <n v="37"/>
    <x v="1"/>
    <n v="4"/>
    <n v="0"/>
    <x v="0"/>
    <x v="0"/>
    <x v="0"/>
  </r>
  <r>
    <x v="2"/>
    <x v="0"/>
    <x v="0"/>
    <x v="1"/>
    <x v="2"/>
    <n v="68"/>
    <x v="2"/>
    <n v="7"/>
    <n v="0"/>
    <x v="0"/>
    <x v="1"/>
    <x v="0"/>
  </r>
  <r>
    <x v="3"/>
    <x v="1"/>
    <x v="0"/>
    <x v="2"/>
    <x v="3"/>
    <n v="55"/>
    <x v="3"/>
    <n v="8"/>
    <n v="3"/>
    <x v="1"/>
    <x v="1"/>
    <x v="1"/>
  </r>
  <r>
    <x v="4"/>
    <x v="1"/>
    <x v="0"/>
    <x v="3"/>
    <x v="1"/>
    <n v="24"/>
    <x v="4"/>
    <n v="4"/>
    <n v="0"/>
    <x v="0"/>
    <x v="0"/>
    <x v="1"/>
  </r>
  <r>
    <x v="5"/>
    <x v="1"/>
    <x v="0"/>
    <x v="4"/>
    <x v="4"/>
    <n v="17"/>
    <x v="5"/>
    <n v="2"/>
    <n v="0"/>
    <x v="0"/>
    <x v="1"/>
    <x v="1"/>
  </r>
  <r>
    <x v="6"/>
    <x v="2"/>
    <x v="1"/>
    <x v="5"/>
    <x v="5"/>
    <n v="41"/>
    <x v="6"/>
    <n v="12"/>
    <n v="3"/>
    <x v="1"/>
    <x v="1"/>
    <x v="2"/>
  </r>
  <r>
    <x v="7"/>
    <x v="2"/>
    <x v="2"/>
    <x v="5"/>
    <x v="6"/>
    <n v="27"/>
    <x v="7"/>
    <n v="8"/>
    <n v="2"/>
    <x v="1"/>
    <x v="1"/>
    <x v="2"/>
  </r>
  <r>
    <x v="8"/>
    <x v="2"/>
    <x v="3"/>
    <x v="5"/>
    <x v="7"/>
    <n v="7"/>
    <x v="8"/>
    <n v="1"/>
    <n v="0"/>
    <x v="0"/>
    <x v="0"/>
    <x v="2"/>
  </r>
  <r>
    <x v="9"/>
    <x v="2"/>
    <x v="1"/>
    <x v="6"/>
    <x v="8"/>
    <n v="61"/>
    <x v="9"/>
    <n v="13"/>
    <n v="3"/>
    <x v="1"/>
    <x v="1"/>
    <x v="2"/>
  </r>
  <r>
    <x v="10"/>
    <x v="0"/>
    <x v="4"/>
    <x v="7"/>
    <x v="9"/>
    <n v="88"/>
    <x v="10"/>
    <n v="9"/>
    <n v="0"/>
    <x v="0"/>
    <x v="1"/>
    <x v="3"/>
  </r>
  <r>
    <x v="11"/>
    <x v="1"/>
    <x v="5"/>
    <x v="8"/>
    <x v="10"/>
    <n v="36"/>
    <x v="11"/>
    <n v="6"/>
    <n v="1"/>
    <x v="0"/>
    <x v="0"/>
    <x v="4"/>
  </r>
  <r>
    <x v="12"/>
    <x v="3"/>
    <x v="4"/>
    <x v="9"/>
    <x v="11"/>
    <n v="234"/>
    <x v="12"/>
    <n v="18"/>
    <n v="2"/>
    <x v="1"/>
    <x v="2"/>
    <x v="5"/>
  </r>
  <r>
    <x v="13"/>
    <x v="2"/>
    <x v="3"/>
    <x v="10"/>
    <x v="12"/>
    <n v="51"/>
    <x v="13"/>
    <n v="10"/>
    <n v="2"/>
    <x v="1"/>
    <x v="1"/>
    <x v="6"/>
  </r>
  <r>
    <x v="14"/>
    <x v="2"/>
    <x v="1"/>
    <x v="10"/>
    <x v="13"/>
    <n v="56"/>
    <x v="14"/>
    <n v="12"/>
    <n v="3"/>
    <x v="1"/>
    <x v="1"/>
    <x v="6"/>
  </r>
  <r>
    <x v="15"/>
    <x v="2"/>
    <x v="3"/>
    <x v="10"/>
    <x v="14"/>
    <n v="48"/>
    <x v="15"/>
    <n v="10"/>
    <n v="2"/>
    <x v="1"/>
    <x v="1"/>
    <x v="6"/>
  </r>
  <r>
    <x v="16"/>
    <x v="0"/>
    <x v="5"/>
    <x v="11"/>
    <x v="15"/>
    <n v="132"/>
    <x v="16"/>
    <n v="14"/>
    <n v="2"/>
    <x v="1"/>
    <x v="1"/>
    <x v="7"/>
  </r>
  <r>
    <x v="17"/>
    <x v="1"/>
    <x v="5"/>
    <x v="12"/>
    <x v="16"/>
    <n v="45"/>
    <x v="17"/>
    <n v="9"/>
    <n v="2"/>
    <x v="1"/>
    <x v="1"/>
    <x v="4"/>
  </r>
  <r>
    <x v="18"/>
    <x v="1"/>
    <x v="6"/>
    <x v="13"/>
    <x v="12"/>
    <n v="52"/>
    <x v="18"/>
    <n v="10"/>
    <n v="2"/>
    <x v="1"/>
    <x v="1"/>
    <x v="8"/>
  </r>
  <r>
    <x v="19"/>
    <x v="0"/>
    <x v="7"/>
    <x v="14"/>
    <x v="17"/>
    <n v="118"/>
    <x v="19"/>
    <n v="13"/>
    <n v="1"/>
    <x v="1"/>
    <x v="1"/>
    <x v="9"/>
  </r>
  <r>
    <x v="20"/>
    <x v="2"/>
    <x v="3"/>
    <x v="12"/>
    <x v="18"/>
    <n v="57"/>
    <x v="20"/>
    <n v="12"/>
    <n v="2"/>
    <x v="1"/>
    <x v="1"/>
    <x v="10"/>
  </r>
  <r>
    <x v="21"/>
    <x v="2"/>
    <x v="3"/>
    <x v="12"/>
    <x v="9"/>
    <n v="50"/>
    <x v="21"/>
    <n v="10"/>
    <n v="2"/>
    <x v="1"/>
    <x v="1"/>
    <x v="10"/>
  </r>
  <r>
    <x v="22"/>
    <x v="0"/>
    <x v="0"/>
    <x v="15"/>
    <x v="19"/>
    <n v="124"/>
    <x v="22"/>
    <n v="14"/>
    <n v="2"/>
    <x v="1"/>
    <x v="1"/>
    <x v="0"/>
  </r>
  <r>
    <x v="23"/>
    <x v="1"/>
    <x v="5"/>
    <x v="8"/>
    <x v="20"/>
    <n v="55"/>
    <x v="23"/>
    <n v="11"/>
    <n v="2"/>
    <x v="1"/>
    <x v="1"/>
    <x v="4"/>
  </r>
  <r>
    <x v="24"/>
    <x v="0"/>
    <x v="7"/>
    <x v="16"/>
    <x v="21"/>
    <n v="121"/>
    <x v="24"/>
    <n v="13"/>
    <n v="1"/>
    <x v="1"/>
    <x v="1"/>
    <x v="9"/>
  </r>
  <r>
    <x v="25"/>
    <x v="2"/>
    <x v="1"/>
    <x v="11"/>
    <x v="22"/>
    <n v="52"/>
    <x v="25"/>
    <n v="11"/>
    <n v="2"/>
    <x v="1"/>
    <x v="1"/>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20"/>
    <n v="5411"/>
    <n v="47.9"/>
    <n v="90.4"/>
    <n v="14"/>
    <n v="35"/>
    <x v="0"/>
  </r>
  <r>
    <x v="1"/>
    <n v="160"/>
    <n v="4231"/>
    <n v="30.4"/>
    <n v="124.5"/>
    <n v="1"/>
    <n v="33"/>
    <x v="1"/>
  </r>
  <r>
    <x v="2"/>
    <n v="8"/>
    <n v="635"/>
    <n v="48.9"/>
    <n v="63.4"/>
    <n v="2"/>
    <n v="3"/>
    <x v="2"/>
  </r>
  <r>
    <x v="3"/>
    <n v="35"/>
    <n v="1023"/>
    <n v="31"/>
    <n v="136.80000000000001"/>
    <n v="0"/>
    <n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FF011-E27E-4E84-8EB4-7C789BA4D999}"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76:B81"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showAll="0"/>
    <pivotField showAll="0"/>
    <pivotField showAll="0"/>
    <pivotField showAll="0"/>
    <pivotField showAll="0"/>
    <pivotField showAll="0"/>
    <pivotField dataField="1" showAll="0">
      <items count="4">
        <item x="2"/>
        <item x="0"/>
        <item x="1"/>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Items count="1">
    <i/>
  </colItems>
  <dataFields count="1">
    <dataField name="Count of Result" fld="10" subtotal="count" baseField="0" baseItem="0"/>
  </dataField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3"/>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 chart="11" format="1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58AF2-0053-413C-B67D-7049FB98DA14}"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T44:U49"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Items count="1">
    <i/>
  </colItems>
  <dataFields count="1">
    <dataField name="Average of SR" fld="6" subtotal="average" baseField="1" baseItem="0"/>
  </dataFields>
  <chartFormats count="11">
    <chartFormat chart="4"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 chart="13" format="9">
      <pivotArea type="data" outline="0" fieldPosition="0">
        <references count="2">
          <reference field="4294967294" count="1" selected="0">
            <x v="0"/>
          </reference>
          <reference field="1" count="1" selected="0">
            <x v="2"/>
          </reference>
        </references>
      </pivotArea>
    </chartFormat>
    <chartFormat chart="13" format="10">
      <pivotArea type="data" outline="0" fieldPosition="0">
        <references count="2">
          <reference field="4294967294" count="1" selected="0">
            <x v="0"/>
          </reference>
          <reference field="1" count="1" selected="0">
            <x v="3"/>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E56658-41F7-4B8A-87F9-12EAB249827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1:B27" firstHeaderRow="1" firstDataRow="1" firstDataCol="1"/>
  <pivotFields count="15">
    <pivotField axis="axisRow"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0"/>
        <item x="1"/>
        <item x="3"/>
        <item x="2"/>
        <item t="default"/>
      </items>
    </pivotField>
    <pivotField showAll="0">
      <items count="9">
        <item x="0"/>
        <item x="1"/>
        <item x="5"/>
        <item x="3"/>
        <item x="7"/>
        <item x="4"/>
        <item x="2"/>
        <item x="6"/>
        <item t="default"/>
      </items>
    </pivotField>
    <pivotField showAll="0"/>
    <pivotField dataField="1" showAll="0">
      <items count="24">
        <item x="0"/>
        <item x="7"/>
        <item x="1"/>
        <item x="10"/>
        <item x="2"/>
        <item x="16"/>
        <item x="14"/>
        <item x="9"/>
        <item x="12"/>
        <item x="22"/>
        <item x="20"/>
        <item x="3"/>
        <item x="18"/>
        <item x="5"/>
        <item x="13"/>
        <item x="8"/>
        <item x="17"/>
        <item x="21"/>
        <item x="19"/>
        <item x="15"/>
        <item x="11"/>
        <item x="4"/>
        <item x="6"/>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4"/>
    <field x="13"/>
    <field x="12"/>
    <field x="0"/>
  </rowFields>
  <rowItems count="6">
    <i>
      <x v="1"/>
    </i>
    <i>
      <x v="2"/>
    </i>
    <i>
      <x v="3"/>
    </i>
    <i>
      <x v="4"/>
    </i>
    <i>
      <x v="5"/>
    </i>
    <i t="grand">
      <x/>
    </i>
  </rowItems>
  <colItems count="1">
    <i/>
  </colItems>
  <dataFields count="1">
    <dataField name="Sum of Runs" fld="4" baseField="14" baseItem="1"/>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AAD5E-D459-4304-9E46-254D720B452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N28:Q33" firstHeaderRow="0"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showAll="0"/>
    <pivotField showAll="0"/>
    <pivotField showAll="0"/>
    <pivotField dataField="1" showAll="0"/>
    <pivotField dataField="1" showAll="0"/>
    <pivotField showAll="0">
      <items count="3">
        <item x="0"/>
        <item x="1"/>
        <item t="default"/>
      </items>
    </pivotField>
    <pivotField dataField="1" showAll="0">
      <items count="4">
        <item x="2"/>
        <item x="0"/>
        <item x="1"/>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Fields count="1">
    <field x="-2"/>
  </colFields>
  <colItems count="3">
    <i>
      <x/>
    </i>
    <i i="1">
      <x v="1"/>
    </i>
    <i i="2">
      <x v="2"/>
    </i>
  </colItems>
  <dataFields count="3">
    <dataField name="Count of 4s" fld="7" subtotal="count" baseField="1" baseItem="0"/>
    <dataField name="Count of 6s" fld="8" subtotal="count" baseField="1" baseItem="0"/>
    <dataField name="Count of Resul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F8269-5E1F-4238-B620-157E1B643EDB}"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G102:J111" firstHeaderRow="0"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0"/>
        <item x="1"/>
        <item x="3"/>
        <item x="2"/>
        <item t="default"/>
      </items>
    </pivotField>
    <pivotField axis="axisRow" showAll="0">
      <items count="9">
        <item x="0"/>
        <item x="1"/>
        <item x="5"/>
        <item x="3"/>
        <item x="7"/>
        <item x="4"/>
        <item x="2"/>
        <item x="6"/>
        <item t="default"/>
      </items>
    </pivotField>
    <pivotField showAll="0"/>
    <pivotField showAll="0">
      <items count="24">
        <item x="0"/>
        <item x="7"/>
        <item x="1"/>
        <item x="10"/>
        <item x="2"/>
        <item x="16"/>
        <item x="14"/>
        <item x="9"/>
        <item x="12"/>
        <item x="22"/>
        <item x="20"/>
        <item x="3"/>
        <item x="18"/>
        <item x="5"/>
        <item x="13"/>
        <item x="8"/>
        <item x="17"/>
        <item x="21"/>
        <item x="19"/>
        <item x="15"/>
        <item x="11"/>
        <item x="4"/>
        <item x="6"/>
        <item t="default"/>
      </items>
    </pivotField>
    <pivotField showAll="0"/>
    <pivotField showAll="0"/>
    <pivotField dataField="1" showAll="0"/>
    <pivotField dataField="1" showAll="0"/>
    <pivotField showAll="0"/>
    <pivotField dataField="1" showAll="0">
      <items count="4">
        <item x="2"/>
        <item x="0"/>
        <item x="1"/>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2"/>
  </rowFields>
  <rowItems count="9">
    <i>
      <x/>
    </i>
    <i>
      <x v="1"/>
    </i>
    <i>
      <x v="2"/>
    </i>
    <i>
      <x v="3"/>
    </i>
    <i>
      <x v="4"/>
    </i>
    <i>
      <x v="5"/>
    </i>
    <i>
      <x v="6"/>
    </i>
    <i>
      <x v="7"/>
    </i>
    <i t="grand">
      <x/>
    </i>
  </rowItems>
  <colFields count="1">
    <field x="-2"/>
  </colFields>
  <colItems count="3">
    <i>
      <x/>
    </i>
    <i i="1">
      <x v="1"/>
    </i>
    <i i="2">
      <x v="2"/>
    </i>
  </colItems>
  <dataFields count="3">
    <dataField name="Sum of 4s" fld="7" baseField="0" baseItem="0"/>
    <dataField name="Sum of 6s" fld="8" baseField="0" baseItem="0"/>
    <dataField name="Count of Result" fld="10" subtotal="count"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33D81-7AFE-4C1A-8E7B-7F0BC6CF453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N36:Q41" firstHeaderRow="0" firstDataRow="1" firstDataCol="1"/>
  <pivotFields count="8">
    <pivotField axis="axisRow" showAll="0">
      <items count="5">
        <item x="0"/>
        <item x="1"/>
        <item x="2"/>
        <item x="3"/>
        <item t="default"/>
      </items>
    </pivotField>
    <pivotField showAll="0"/>
    <pivotField showAll="0"/>
    <pivotField showAll="0"/>
    <pivotField dataField="1" showAll="0"/>
    <pivotField dataField="1" showAll="0"/>
    <pivotField dataField="1" showAll="0"/>
    <pivotField showAll="0">
      <items count="5">
        <item x="3"/>
        <item x="1"/>
        <item x="2"/>
        <item x="0"/>
        <item t="default"/>
      </items>
    </pivotField>
  </pivotFields>
  <rowFields count="1">
    <field x="0"/>
  </rowFields>
  <rowItems count="5">
    <i>
      <x/>
    </i>
    <i>
      <x v="1"/>
    </i>
    <i>
      <x v="2"/>
    </i>
    <i>
      <x v="3"/>
    </i>
    <i t="grand">
      <x/>
    </i>
  </rowItems>
  <colFields count="1">
    <field x="-2"/>
  </colFields>
  <colItems count="3">
    <i>
      <x/>
    </i>
    <i i="1">
      <x v="1"/>
    </i>
    <i i="2">
      <x v="2"/>
    </i>
  </colItems>
  <dataFields count="3">
    <dataField name="Sum of 100s" fld="5" baseField="0" baseItem="0"/>
    <dataField name="Sum of 50s" fld="6" baseField="0" baseItem="0"/>
    <dataField name="Average of Strike Rate" fld="4" subtotal="average"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FD108-02D6-4C19-B3D7-3B9355EB8D3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2:B37"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showAll="0">
      <items count="24">
        <item x="0"/>
        <item x="7"/>
        <item x="1"/>
        <item x="10"/>
        <item x="2"/>
        <item x="16"/>
        <item x="14"/>
        <item x="9"/>
        <item x="12"/>
        <item x="22"/>
        <item x="20"/>
        <item x="3"/>
        <item x="18"/>
        <item x="5"/>
        <item x="13"/>
        <item x="8"/>
        <item x="17"/>
        <item x="21"/>
        <item x="19"/>
        <item x="15"/>
        <item x="11"/>
        <item x="4"/>
        <item x="6"/>
        <item t="default"/>
      </items>
    </pivotField>
    <pivotField dataField="1" showAll="0"/>
    <pivotField showAll="0">
      <items count="27">
        <item x="0"/>
        <item x="12"/>
        <item x="10"/>
        <item x="1"/>
        <item x="2"/>
        <item x="8"/>
        <item x="16"/>
        <item x="24"/>
        <item x="19"/>
        <item x="22"/>
        <item x="5"/>
        <item x="11"/>
        <item x="4"/>
        <item x="18"/>
        <item x="23"/>
        <item x="21"/>
        <item x="13"/>
        <item x="15"/>
        <item x="25"/>
        <item x="17"/>
        <item x="3"/>
        <item x="20"/>
        <item x="14"/>
        <item x="9"/>
        <item x="7"/>
        <item x="6"/>
        <item t="default"/>
      </items>
    </pivotField>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Items count="1">
    <i/>
  </colItems>
  <dataFields count="1">
    <dataField name="Sum of Bal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824FAE-43F5-49E1-ABF9-F1E0AEB4ACF0}"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K87:M92" firstHeaderRow="0"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dataField="1" showAll="0">
      <items count="24">
        <item x="0"/>
        <item x="7"/>
        <item x="1"/>
        <item x="10"/>
        <item x="2"/>
        <item x="16"/>
        <item x="14"/>
        <item x="9"/>
        <item x="12"/>
        <item x="22"/>
        <item x="20"/>
        <item x="3"/>
        <item x="18"/>
        <item x="5"/>
        <item x="13"/>
        <item x="8"/>
        <item x="17"/>
        <item x="21"/>
        <item x="19"/>
        <item x="15"/>
        <item x="11"/>
        <item x="4"/>
        <item x="6"/>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Fields count="1">
    <field x="-2"/>
  </colFields>
  <colItems count="2">
    <i>
      <x/>
    </i>
    <i i="1">
      <x v="1"/>
    </i>
  </colItems>
  <dataFields count="2">
    <dataField name="Sum of Balls" fld="5" baseField="0" baseItem="0"/>
    <dataField name="Sum of Runs" fld="4" baseField="1"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F3C504-FF97-4E62-A466-7F09301CC03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12:O25"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0"/>
        <item x="1"/>
        <item x="3"/>
        <item x="2"/>
        <item t="default"/>
      </items>
    </pivotField>
    <pivotField showAll="0">
      <items count="9">
        <item x="0"/>
        <item x="1"/>
        <item x="5"/>
        <item x="3"/>
        <item x="7"/>
        <item x="4"/>
        <item x="2"/>
        <item x="6"/>
        <item t="default"/>
      </items>
    </pivotField>
    <pivotField showAll="0"/>
    <pivotField dataField="1" showAll="0">
      <items count="24">
        <item x="0"/>
        <item x="7"/>
        <item x="1"/>
        <item x="10"/>
        <item x="2"/>
        <item x="16"/>
        <item x="14"/>
        <item x="9"/>
        <item x="12"/>
        <item x="22"/>
        <item x="20"/>
        <item x="3"/>
        <item x="18"/>
        <item x="5"/>
        <item x="13"/>
        <item x="8"/>
        <item x="17"/>
        <item x="21"/>
        <item x="19"/>
        <item x="15"/>
        <item x="11"/>
        <item x="4"/>
        <item x="6"/>
        <item t="default"/>
      </items>
    </pivotField>
    <pivotField showAll="0"/>
    <pivotField showAll="0"/>
    <pivotField showAll="0"/>
    <pivotField showAll="0"/>
    <pivotField showAll="0"/>
    <pivotField showAll="0"/>
    <pivotField axis="axisRow" showAll="0">
      <items count="13">
        <item x="0"/>
        <item x="1"/>
        <item x="7"/>
        <item x="4"/>
        <item x="9"/>
        <item x="3"/>
        <item x="5"/>
        <item x="8"/>
        <item x="11"/>
        <item x="10"/>
        <item x="6"/>
        <item x="2"/>
        <item t="default"/>
      </items>
    </pivotField>
    <pivotField showAll="0" defaultSubtotal="0"/>
    <pivotField showAll="0" defaultSubtotal="0"/>
    <pivotField showAll="0" defaultSubtotal="0">
      <items count="7">
        <item x="0"/>
        <item x="1"/>
        <item x="2"/>
        <item x="3"/>
        <item x="4"/>
        <item x="5"/>
        <item x="6"/>
      </items>
    </pivotField>
  </pivotFields>
  <rowFields count="1">
    <field x="11"/>
  </rowFields>
  <rowItems count="13">
    <i>
      <x/>
    </i>
    <i>
      <x v="1"/>
    </i>
    <i>
      <x v="2"/>
    </i>
    <i>
      <x v="3"/>
    </i>
    <i>
      <x v="4"/>
    </i>
    <i>
      <x v="5"/>
    </i>
    <i>
      <x v="6"/>
    </i>
    <i>
      <x v="7"/>
    </i>
    <i>
      <x v="8"/>
    </i>
    <i>
      <x v="9"/>
    </i>
    <i>
      <x v="10"/>
    </i>
    <i>
      <x v="11"/>
    </i>
    <i t="grand">
      <x/>
    </i>
  </rowItems>
  <colItems count="1">
    <i/>
  </colItems>
  <dataFields count="1">
    <dataField name="Sum of Runs" fld="4"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069376-FE7A-4B2F-BC7F-0DE346E06084}"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44:O62"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0"/>
        <item x="1"/>
        <item x="3"/>
        <item x="2"/>
        <item t="default"/>
      </items>
    </pivotField>
    <pivotField showAll="0">
      <items count="9">
        <item x="0"/>
        <item x="1"/>
        <item x="5"/>
        <item x="3"/>
        <item x="7"/>
        <item x="4"/>
        <item x="2"/>
        <item x="6"/>
        <item t="default"/>
      </items>
    </pivotField>
    <pivotField axis="axisRow" showAll="0">
      <items count="18">
        <item x="2"/>
        <item x="14"/>
        <item x="10"/>
        <item x="1"/>
        <item x="3"/>
        <item x="9"/>
        <item x="12"/>
        <item x="16"/>
        <item x="0"/>
        <item x="8"/>
        <item x="7"/>
        <item x="15"/>
        <item x="11"/>
        <item x="6"/>
        <item x="13"/>
        <item x="4"/>
        <item x="5"/>
        <item t="default"/>
      </items>
    </pivotField>
    <pivotField showAll="0"/>
    <pivotField showAll="0"/>
    <pivotField showAll="0"/>
    <pivotField showAll="0"/>
    <pivotField showAll="0"/>
    <pivotField showAll="0"/>
    <pivotField dataField="1" showAll="0">
      <items count="4">
        <item x="2"/>
        <item x="0"/>
        <item x="1"/>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Count of Resul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BC2B66-B7DA-40D5-BBDF-F6E9DA5AFF9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65:O78"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0"/>
        <item x="1"/>
        <item x="3"/>
        <item x="2"/>
        <item t="default"/>
      </items>
    </pivotField>
    <pivotField showAll="0">
      <items count="9">
        <item x="0"/>
        <item x="1"/>
        <item x="5"/>
        <item x="3"/>
        <item x="7"/>
        <item x="4"/>
        <item x="2"/>
        <item x="6"/>
        <item t="default"/>
      </items>
    </pivotField>
    <pivotField showAll="0"/>
    <pivotField dataField="1" showAll="0">
      <items count="24">
        <item x="0"/>
        <item x="7"/>
        <item x="1"/>
        <item x="10"/>
        <item x="2"/>
        <item x="16"/>
        <item x="14"/>
        <item x="9"/>
        <item x="12"/>
        <item x="22"/>
        <item x="20"/>
        <item x="3"/>
        <item x="18"/>
        <item x="5"/>
        <item x="13"/>
        <item x="8"/>
        <item x="17"/>
        <item x="21"/>
        <item x="19"/>
        <item x="15"/>
        <item x="11"/>
        <item x="4"/>
        <item x="6"/>
        <item t="default"/>
      </items>
    </pivotField>
    <pivotField showAll="0"/>
    <pivotField showAll="0"/>
    <pivotField showAll="0"/>
    <pivotField showAll="0"/>
    <pivotField showAll="0"/>
    <pivotField showAll="0"/>
    <pivotField axis="axisRow" showAll="0">
      <items count="13">
        <item x="0"/>
        <item x="1"/>
        <item x="7"/>
        <item x="4"/>
        <item x="9"/>
        <item x="3"/>
        <item x="5"/>
        <item x="8"/>
        <item x="11"/>
        <item x="10"/>
        <item x="6"/>
        <item x="2"/>
        <item t="default"/>
      </items>
    </pivotField>
    <pivotField showAll="0" defaultSubtotal="0"/>
    <pivotField showAll="0" defaultSubtotal="0"/>
    <pivotField showAll="0" defaultSubtotal="0">
      <items count="7">
        <item x="0"/>
        <item x="1"/>
        <item x="2"/>
        <item x="3"/>
        <item x="4"/>
        <item x="5"/>
        <item x="6"/>
      </items>
    </pivotField>
  </pivotFields>
  <rowFields count="1">
    <field x="11"/>
  </rowFields>
  <rowItems count="13">
    <i>
      <x/>
    </i>
    <i>
      <x v="1"/>
    </i>
    <i>
      <x v="2"/>
    </i>
    <i>
      <x v="3"/>
    </i>
    <i>
      <x v="4"/>
    </i>
    <i>
      <x v="5"/>
    </i>
    <i>
      <x v="6"/>
    </i>
    <i>
      <x v="7"/>
    </i>
    <i>
      <x v="8"/>
    </i>
    <i>
      <x v="9"/>
    </i>
    <i>
      <x v="10"/>
    </i>
    <i>
      <x v="11"/>
    </i>
    <i t="grand">
      <x/>
    </i>
  </rowItems>
  <colItems count="1">
    <i/>
  </colItems>
  <dataFields count="1">
    <dataField name="Sum of Runs" fld="4"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4394A9-4BFE-4047-A327-60C1B6C01EA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4:B69"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dataField="1" showAll="0">
      <items count="24">
        <item x="0"/>
        <item x="7"/>
        <item x="1"/>
        <item x="10"/>
        <item x="2"/>
        <item x="16"/>
        <item x="14"/>
        <item x="9"/>
        <item x="12"/>
        <item x="22"/>
        <item x="20"/>
        <item x="3"/>
        <item x="18"/>
        <item x="5"/>
        <item x="13"/>
        <item x="8"/>
        <item x="17"/>
        <item x="21"/>
        <item x="19"/>
        <item x="15"/>
        <item x="11"/>
        <item x="4"/>
        <item x="6"/>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Items count="1">
    <i/>
  </colItems>
  <dataFields count="1">
    <dataField name="Sum of Runs" fld="4"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AE1ECC-3084-4C42-8146-E8B8FEB511E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2:B60"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x="0"/>
        <item x="1"/>
        <item x="3"/>
        <item x="2"/>
        <item t="default"/>
      </items>
    </pivotField>
    <pivotField showAll="0">
      <items count="9">
        <item x="0"/>
        <item x="1"/>
        <item x="5"/>
        <item x="3"/>
        <item x="7"/>
        <item x="4"/>
        <item x="2"/>
        <item x="6"/>
        <item t="default"/>
      </items>
    </pivotField>
    <pivotField axis="axisRow" showAll="0">
      <items count="18">
        <item x="2"/>
        <item x="14"/>
        <item x="10"/>
        <item x="1"/>
        <item x="3"/>
        <item x="9"/>
        <item x="12"/>
        <item x="16"/>
        <item x="0"/>
        <item x="8"/>
        <item x="7"/>
        <item x="15"/>
        <item x="11"/>
        <item x="6"/>
        <item x="13"/>
        <item x="4"/>
        <item x="5"/>
        <item t="default"/>
      </items>
    </pivotField>
    <pivotField showAll="0">
      <items count="24">
        <item x="0"/>
        <item x="7"/>
        <item x="1"/>
        <item x="10"/>
        <item x="2"/>
        <item x="16"/>
        <item x="14"/>
        <item x="9"/>
        <item x="12"/>
        <item x="22"/>
        <item x="20"/>
        <item x="3"/>
        <item x="18"/>
        <item x="5"/>
        <item x="13"/>
        <item x="8"/>
        <item x="17"/>
        <item x="21"/>
        <item x="19"/>
        <item x="15"/>
        <item x="11"/>
        <item x="4"/>
        <item x="6"/>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Bal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1AFF66-BE8F-46DC-A889-B9DE1F70E1C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8"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showAll="0">
      <items count="24">
        <item x="0"/>
        <item x="7"/>
        <item x="1"/>
        <item x="10"/>
        <item x="2"/>
        <item x="16"/>
        <item x="14"/>
        <item x="9"/>
        <item x="12"/>
        <item x="22"/>
        <item x="20"/>
        <item x="3"/>
        <item x="18"/>
        <item x="5"/>
        <item x="13"/>
        <item x="8"/>
        <item x="17"/>
        <item x="21"/>
        <item x="19"/>
        <item x="15"/>
        <item x="11"/>
        <item x="4"/>
        <item x="6"/>
        <item t="default"/>
      </items>
    </pivotField>
    <pivotField showAll="0"/>
    <pivotField showAll="0"/>
    <pivotField showAll="0"/>
    <pivotField showAll="0"/>
    <pivotField dataField="1" showAll="0">
      <items count="3">
        <item x="0"/>
        <item x="1"/>
        <item t="default"/>
      </items>
    </pivotField>
    <pivotField showAll="0"/>
    <pivotField showAll="0">
      <items count="13">
        <item x="0"/>
        <item x="1"/>
        <item x="7"/>
        <item x="4"/>
        <item x="9"/>
        <item x="3"/>
        <item x="5"/>
        <item x="8"/>
        <item x="11"/>
        <item x="10"/>
        <item x="6"/>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
    <i>
      <x/>
    </i>
    <i>
      <x v="1"/>
    </i>
    <i>
      <x v="2"/>
    </i>
    <i>
      <x v="3"/>
    </i>
    <i t="grand">
      <x/>
    </i>
  </rowItems>
  <colItems count="1">
    <i/>
  </colItems>
  <dataFields count="1">
    <dataField name="Count of Award" fld="9" subtotal="count" baseField="0" baseItem="0"/>
  </dataFields>
  <chartFormats count="11">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3"/>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7" format="13">
      <pivotArea type="data" outline="0" fieldPosition="0">
        <references count="2">
          <reference field="4294967294" count="1" selected="0">
            <x v="0"/>
          </reference>
          <reference field="1" count="1" selected="0">
            <x v="2"/>
          </reference>
        </references>
      </pivotArea>
    </chartFormat>
    <chartFormat chart="17" format="14">
      <pivotArea type="data" outline="0" fieldPosition="0">
        <references count="2">
          <reference field="4294967294" count="1" selected="0">
            <x v="0"/>
          </reference>
          <reference field="1" count="1" selected="0">
            <x v="3"/>
          </reference>
        </references>
      </pivotArea>
    </chartFormat>
    <chartFormat chart="17"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6A837A-7E75-4003-A243-8991874752E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N2:O7" firstHeaderRow="1" firstDataRow="1" firstDataCol="1"/>
  <pivotFields count="15">
    <pivotField numFmtId="14"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0"/>
        <item x="1"/>
        <item x="3"/>
        <item x="2"/>
        <item t="default"/>
      </items>
    </pivotField>
    <pivotField showAll="0">
      <items count="9">
        <item x="0"/>
        <item x="1"/>
        <item x="5"/>
        <item x="3"/>
        <item x="7"/>
        <item x="4"/>
        <item x="2"/>
        <item x="6"/>
        <item t="default"/>
      </items>
    </pivotField>
    <pivotField showAll="0"/>
    <pivotField showAll="0"/>
    <pivotField dataField="1" showAll="0"/>
    <pivotField showAll="0"/>
    <pivotField showAll="0"/>
    <pivotField showAll="0"/>
    <pivotField showAll="0"/>
    <pivotField showAll="0">
      <items count="4">
        <item x="2"/>
        <item x="0"/>
        <item x="1"/>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5">
    <i>
      <x/>
    </i>
    <i>
      <x v="1"/>
    </i>
    <i>
      <x v="2"/>
    </i>
    <i>
      <x v="3"/>
    </i>
    <i t="grand">
      <x/>
    </i>
  </rowItems>
  <colItems count="1">
    <i/>
  </colItems>
  <dataFields count="1">
    <dataField name="Sum of Balls" fld="5" baseField="0" baseItem="0"/>
  </dataFields>
  <chartFormats count="1">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at" xr10:uid="{AA38DC5C-EAAA-40C4-964D-61B0A3B06F63}" sourceName="Format">
  <pivotTables>
    <pivotTable tabId="2" name="PivotTable1"/>
    <pivotTable tabId="2" name="PivotTable10"/>
    <pivotTable tabId="2" name="PivotTable13"/>
    <pivotTable tabId="2" name="PivotTable14"/>
    <pivotTable tabId="2" name="PivotTable15"/>
    <pivotTable tabId="2" name="PivotTable16"/>
    <pivotTable tabId="2" name="PivotTable17"/>
    <pivotTable tabId="2" name="PivotTable18"/>
    <pivotTable tabId="2" name="PivotTable4"/>
    <pivotTable tabId="2" name="PivotTable5"/>
    <pivotTable tabId="2" name="PivotTable6"/>
    <pivotTable tabId="2" name="PivotTable7"/>
    <pivotTable tabId="2" name="PivotTable8"/>
    <pivotTable tabId="2" name="PivotTable9"/>
  </pivotTables>
  <data>
    <tabular pivotCacheId="1798845934">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nent" xr10:uid="{B030E580-AF2A-42F0-AE47-0C78E5619EC9}" sourceName="Opponent">
  <pivotTables>
    <pivotTable tabId="2" name="PivotTable18"/>
    <pivotTable tabId="2" name="PivotTable1"/>
    <pivotTable tabId="2" name="PivotTable10"/>
    <pivotTable tabId="2" name="PivotTable13"/>
    <pivotTable tabId="2" name="PivotTable14"/>
    <pivotTable tabId="2" name="PivotTable15"/>
    <pivotTable tabId="2" name="PivotTable16"/>
    <pivotTable tabId="2" name="PivotTable17"/>
    <pivotTable tabId="2" name="PivotTable4"/>
    <pivotTable tabId="2" name="PivotTable5"/>
    <pivotTable tabId="2" name="PivotTable6"/>
    <pivotTable tabId="2" name="PivotTable7"/>
    <pivotTable tabId="2" name="PivotTable8"/>
    <pivotTable tabId="2" name="PivotTable9"/>
  </pivotTables>
  <data>
    <tabular pivotCacheId="1798845934">
      <items count="8">
        <i x="0" s="1"/>
        <i x="1" s="1"/>
        <i x="5" s="1"/>
        <i x="3" s="1"/>
        <i x="7"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at" xr10:uid="{446196FC-0329-4FF8-BAB9-DD2781D2F808}" cache="Slicer_Format" caption="Format" style="SlicerStyleLight2" rowHeight="234950"/>
  <slicer name="Opponent" xr10:uid="{823E7ED9-79A7-4F86-9BCB-991E9F005B30}" cache="Slicer_Opponent" caption="Opponen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at 1" xr10:uid="{104A8CBF-F7DD-449F-964F-8E89453E3D3D}" cache="Slicer_Format" caption="Format" style="SlicerStyleLight2" rowHeight="234950"/>
  <slicer name="Opponent 1" xr10:uid="{9C3FCA10-4521-4939-B8FC-DB4FEA934A4E}" cache="Slicer_Opponent" caption="Opponen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EE50F7-8928-494A-A421-3B0A62545D94}" name="Table7" displayName="Table7" ref="A3:L29" totalsRowShown="0">
  <autoFilter ref="A3:L29" xr:uid="{EDEE50F7-8928-494A-A421-3B0A62545D94}"/>
  <tableColumns count="12">
    <tableColumn id="1" xr3:uid="{A236D52B-2397-49C7-A5BA-151859B87BFB}" name="Date" dataDxfId="3"/>
    <tableColumn id="2" xr3:uid="{ED881DB3-1C4D-4CCE-B4B6-25FC6C8B1684}" name="Format"/>
    <tableColumn id="3" xr3:uid="{196DB9F4-6D9C-4DA3-A512-2178310A8A2F}" name="Opponent"/>
    <tableColumn id="4" xr3:uid="{24F528F2-2223-4946-8896-CD77D457BBC7}" name="Venue"/>
    <tableColumn id="5" xr3:uid="{B3F96B2E-A40C-4BE3-ADEF-45855EF4916D}" name="Runs"/>
    <tableColumn id="6" xr3:uid="{A4B0D3E3-7F9E-48D8-82F1-28B6B82886DA}" name="Balls"/>
    <tableColumn id="7" xr3:uid="{64C14E2A-626E-4778-9274-DDACF5FA697A}" name="SR"/>
    <tableColumn id="8" xr3:uid="{78451E29-69EB-4893-8982-6CE78DBE29C4}" name="4s"/>
    <tableColumn id="9" xr3:uid="{AFB2CE6F-71B7-41BB-83F5-D87BDC2889B9}" name="6s"/>
    <tableColumn id="10" xr3:uid="{EEA5F384-C465-4AFA-81BA-92B742DEC4B9}" name="Award"/>
    <tableColumn id="11" xr3:uid="{91BF7560-BE66-45F2-92B0-EB06C316ED50}" name="Result"/>
    <tableColumn id="12" xr3:uid="{700AF483-F318-4789-8F88-B2848CE133A3}" name="Tourna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D4A043-E009-4437-8A1B-7CA47BD28671}" name="Table1" displayName="Table1" ref="A1:L27" totalsRowShown="0">
  <autoFilter ref="A1:L27" xr:uid="{55D4A043-E009-4437-8A1B-7CA47BD28671}"/>
  <tableColumns count="12">
    <tableColumn id="1" xr3:uid="{FB5C93C0-164E-48F9-80B0-EFD870C9A1E1}" name="Date" dataDxfId="2"/>
    <tableColumn id="2" xr3:uid="{B386BC68-2AFB-46FE-889D-E3D65A9A3FD2}" name="Format"/>
    <tableColumn id="3" xr3:uid="{B9D6EE9C-52E0-4EF0-9A21-349638DEC34F}" name="Opponent"/>
    <tableColumn id="4" xr3:uid="{4CF8C8A1-82ED-4ADC-AACE-2D60F332BD77}" name="Venue"/>
    <tableColumn id="5" xr3:uid="{88FE5860-D615-4250-99A0-CFF964AF3134}" name="Runs"/>
    <tableColumn id="6" xr3:uid="{11D08A16-CBCA-401D-9538-271906EAB5A1}" name="Balls"/>
    <tableColumn id="7" xr3:uid="{134565E4-E851-4DB0-8786-170283AFDB87}" name="SR"/>
    <tableColumn id="8" xr3:uid="{E952784E-CE70-4B27-A674-AF875B8A9999}" name="4s"/>
    <tableColumn id="9" xr3:uid="{C8728C26-538C-4CDF-92D5-4330EB0408D2}" name="6s"/>
    <tableColumn id="10" xr3:uid="{51EF3028-DDBD-41F1-9207-2318112C3AE4}" name="Award"/>
    <tableColumn id="11" xr3:uid="{A5255AB4-9F0E-40D7-9767-BDBB18A24A18}" name="Result"/>
    <tableColumn id="12" xr3:uid="{B28082CE-F1EE-434D-974C-79257E59DDE8}" name="Tourna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A6503D-E044-4915-96BD-7BDF48C5779B}" name="Table6" displayName="Table6" ref="B30:I34" totalsRowShown="0" headerRowDxfId="1" tableBorderDxfId="0">
  <autoFilter ref="B30:I34" xr:uid="{45A6503D-E044-4915-96BD-7BDF48C5779B}"/>
  <tableColumns count="8">
    <tableColumn id="1" xr3:uid="{D2240D3E-6189-4F63-B0BC-7195490052D1}" name="Format"/>
    <tableColumn id="2" xr3:uid="{B4F4CC36-9BFE-4C93-BF37-C07F4B281B3D}" name="Matches"/>
    <tableColumn id="3" xr3:uid="{3790D0C3-672D-4F06-A380-8BDABB93598F}" name="Runs"/>
    <tableColumn id="4" xr3:uid="{E9FB0F19-72FF-478E-AB39-83FD132082C7}" name="Average"/>
    <tableColumn id="5" xr3:uid="{5694DF5F-AEFE-4D5B-9288-25CA1B3626E1}" name="Strike Rate"/>
    <tableColumn id="6" xr3:uid="{C3E8E013-7168-463B-80C4-84ECB1D7CF62}" name="100s"/>
    <tableColumn id="7" xr3:uid="{F6F3AC95-9B0E-4C77-B61E-2997CB195B52}" name="50s"/>
    <tableColumn id="8" xr3:uid="{870EBD67-BB7C-4A90-8FD5-939EF29D19A0}" name="Awar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BEDD618-D7AF-4A84-9411-1866CE161A5A}" sourceName="Date">
  <pivotTables>
    <pivotTable tabId="2" name="PivotTable4"/>
    <pivotTable tabId="2" name="PivotTable1"/>
    <pivotTable tabId="2" name="PivotTable10"/>
    <pivotTable tabId="2" name="PivotTable13"/>
    <pivotTable tabId="2" name="PivotTable14"/>
    <pivotTable tabId="2" name="PivotTable15"/>
    <pivotTable tabId="2" name="PivotTable16"/>
    <pivotTable tabId="2" name="PivotTable17"/>
    <pivotTable tabId="2" name="PivotTable18"/>
    <pivotTable tabId="2" name="PivotTable5"/>
    <pivotTable tabId="2" name="PivotTable6"/>
    <pivotTable tabId="2" name="PivotTable7"/>
    <pivotTable tabId="2" name="PivotTable8"/>
    <pivotTable tabId="2" name="PivotTable9"/>
  </pivotTables>
  <state minimalRefreshVersion="6" lastRefreshVersion="6" pivotCacheId="1798845934"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E0937C8-5662-486D-BF9E-FB5B745D383E}" cache="NativeTimeline_Date" caption="Date" level="3" selectionLevel="2" scrollPosition="2022-01-02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F965C67-3140-4563-9697-FAD536DE35B6}" cache="NativeTimeline_Date" caption="Date" level="3" selectionLevel="2" scrollPosition="2022-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F593-1900-423B-B554-A295FB152DA9}">
  <dimension ref="A1:L29"/>
  <sheetViews>
    <sheetView tabSelected="1" topLeftCell="A5" workbookViewId="0">
      <selection activeCell="O15" sqref="O15"/>
    </sheetView>
  </sheetViews>
  <sheetFormatPr defaultRowHeight="14.4" x14ac:dyDescent="0.3"/>
  <cols>
    <col min="1" max="1" width="10.33203125" bestFit="1" customWidth="1"/>
    <col min="2" max="2" width="9.21875" bestFit="1" customWidth="1"/>
    <col min="3" max="3" width="16.77734375" bestFit="1" customWidth="1"/>
    <col min="4" max="4" width="11.77734375" bestFit="1" customWidth="1"/>
    <col min="5" max="9" width="9" bestFit="1" customWidth="1"/>
    <col min="10" max="10" width="17.21875" bestFit="1" customWidth="1"/>
    <col min="11" max="11" width="9" bestFit="1" customWidth="1"/>
    <col min="12" max="12" width="27.33203125" bestFit="1" customWidth="1"/>
  </cols>
  <sheetData>
    <row r="1" spans="1:12" x14ac:dyDescent="0.3">
      <c r="A1" s="19" t="s">
        <v>95</v>
      </c>
    </row>
    <row r="3" spans="1:12" x14ac:dyDescent="0.3">
      <c r="A3" t="s">
        <v>0</v>
      </c>
      <c r="B3" t="s">
        <v>1</v>
      </c>
      <c r="C3" t="s">
        <v>2</v>
      </c>
      <c r="D3" t="s">
        <v>3</v>
      </c>
      <c r="E3" t="s">
        <v>4</v>
      </c>
      <c r="F3" t="s">
        <v>5</v>
      </c>
      <c r="G3" t="s">
        <v>6</v>
      </c>
      <c r="H3" t="s">
        <v>7</v>
      </c>
      <c r="I3" t="s">
        <v>8</v>
      </c>
      <c r="J3" t="s">
        <v>9</v>
      </c>
      <c r="K3" t="s">
        <v>10</v>
      </c>
      <c r="L3" t="s">
        <v>11</v>
      </c>
    </row>
    <row r="4" spans="1:12" x14ac:dyDescent="0.3">
      <c r="A4" s="1">
        <v>46074</v>
      </c>
      <c r="B4" t="s">
        <v>18</v>
      </c>
      <c r="C4" t="s">
        <v>71</v>
      </c>
      <c r="D4" t="s">
        <v>19</v>
      </c>
      <c r="E4">
        <v>82</v>
      </c>
      <c r="F4">
        <v>55</v>
      </c>
      <c r="G4">
        <v>149</v>
      </c>
      <c r="H4">
        <v>8</v>
      </c>
      <c r="I4">
        <v>3</v>
      </c>
      <c r="J4" t="s">
        <v>20</v>
      </c>
      <c r="K4" t="s">
        <v>17</v>
      </c>
      <c r="L4" t="s">
        <v>21</v>
      </c>
    </row>
    <row r="5" spans="1:12" x14ac:dyDescent="0.3">
      <c r="A5" s="1">
        <v>45117</v>
      </c>
      <c r="B5" t="s">
        <v>12</v>
      </c>
      <c r="C5" t="s">
        <v>78</v>
      </c>
      <c r="D5" t="s">
        <v>45</v>
      </c>
      <c r="E5">
        <v>105</v>
      </c>
      <c r="F5">
        <v>118</v>
      </c>
      <c r="G5">
        <v>89</v>
      </c>
      <c r="H5">
        <v>13</v>
      </c>
      <c r="I5">
        <v>1</v>
      </c>
      <c r="J5" t="s">
        <v>20</v>
      </c>
      <c r="K5" t="s">
        <v>17</v>
      </c>
      <c r="L5" t="s">
        <v>46</v>
      </c>
    </row>
    <row r="6" spans="1:12" x14ac:dyDescent="0.3">
      <c r="A6" s="1">
        <v>45366</v>
      </c>
      <c r="B6" t="s">
        <v>25</v>
      </c>
      <c r="C6" t="s">
        <v>74</v>
      </c>
      <c r="D6" t="s">
        <v>38</v>
      </c>
      <c r="E6">
        <v>74</v>
      </c>
      <c r="F6">
        <v>51</v>
      </c>
      <c r="G6">
        <v>145</v>
      </c>
      <c r="H6">
        <v>10</v>
      </c>
      <c r="I6">
        <v>2</v>
      </c>
      <c r="J6" t="s">
        <v>20</v>
      </c>
      <c r="K6" t="s">
        <v>17</v>
      </c>
      <c r="L6" t="s">
        <v>39</v>
      </c>
    </row>
    <row r="7" spans="1:12" x14ac:dyDescent="0.3">
      <c r="A7" s="1">
        <v>45347</v>
      </c>
      <c r="B7" t="s">
        <v>25</v>
      </c>
      <c r="C7" t="s">
        <v>72</v>
      </c>
      <c r="D7" t="s">
        <v>38</v>
      </c>
      <c r="E7">
        <v>88</v>
      </c>
      <c r="F7">
        <v>56</v>
      </c>
      <c r="G7">
        <v>157.1</v>
      </c>
      <c r="H7">
        <v>12</v>
      </c>
      <c r="I7">
        <v>3</v>
      </c>
      <c r="J7" t="s">
        <v>20</v>
      </c>
      <c r="K7" t="s">
        <v>17</v>
      </c>
      <c r="L7" t="s">
        <v>39</v>
      </c>
    </row>
    <row r="8" spans="1:12" x14ac:dyDescent="0.3">
      <c r="A8" s="1">
        <v>45313</v>
      </c>
      <c r="B8" t="s">
        <v>25</v>
      </c>
      <c r="C8" t="s">
        <v>74</v>
      </c>
      <c r="D8" t="s">
        <v>38</v>
      </c>
      <c r="E8">
        <v>71</v>
      </c>
      <c r="F8">
        <v>48</v>
      </c>
      <c r="G8">
        <v>147.9</v>
      </c>
      <c r="H8">
        <v>10</v>
      </c>
      <c r="I8">
        <v>2</v>
      </c>
      <c r="J8" t="s">
        <v>20</v>
      </c>
      <c r="K8" t="s">
        <v>17</v>
      </c>
      <c r="L8" t="s">
        <v>39</v>
      </c>
    </row>
    <row r="9" spans="1:12" x14ac:dyDescent="0.3">
      <c r="A9" s="1">
        <v>46077</v>
      </c>
      <c r="B9" t="s">
        <v>12</v>
      </c>
      <c r="C9" t="s">
        <v>71</v>
      </c>
      <c r="D9" t="s">
        <v>16</v>
      </c>
      <c r="E9">
        <v>58</v>
      </c>
      <c r="F9">
        <v>68</v>
      </c>
      <c r="G9">
        <v>85.2</v>
      </c>
      <c r="H9">
        <v>7</v>
      </c>
      <c r="I9">
        <v>0</v>
      </c>
      <c r="J9" t="s">
        <v>79</v>
      </c>
      <c r="K9" t="s">
        <v>17</v>
      </c>
      <c r="L9" t="s">
        <v>15</v>
      </c>
    </row>
    <row r="10" spans="1:12" x14ac:dyDescent="0.3">
      <c r="A10" s="1">
        <v>46072</v>
      </c>
      <c r="B10" t="s">
        <v>18</v>
      </c>
      <c r="C10" t="s">
        <v>71</v>
      </c>
      <c r="D10" t="s">
        <v>22</v>
      </c>
      <c r="E10">
        <v>31</v>
      </c>
      <c r="F10">
        <v>24</v>
      </c>
      <c r="G10">
        <v>129.1</v>
      </c>
      <c r="H10">
        <v>4</v>
      </c>
      <c r="I10">
        <v>0</v>
      </c>
      <c r="J10" t="s">
        <v>79</v>
      </c>
      <c r="K10" t="s">
        <v>14</v>
      </c>
      <c r="L10" t="s">
        <v>21</v>
      </c>
    </row>
    <row r="11" spans="1:12" x14ac:dyDescent="0.3">
      <c r="A11" s="1">
        <v>45471</v>
      </c>
      <c r="B11" t="s">
        <v>34</v>
      </c>
      <c r="C11" t="s">
        <v>75</v>
      </c>
      <c r="D11" t="s">
        <v>35</v>
      </c>
      <c r="E11">
        <v>149</v>
      </c>
      <c r="F11">
        <v>234</v>
      </c>
      <c r="G11">
        <v>63.6</v>
      </c>
      <c r="H11">
        <v>18</v>
      </c>
      <c r="I11">
        <v>2</v>
      </c>
      <c r="J11" t="s">
        <v>20</v>
      </c>
      <c r="K11" t="s">
        <v>36</v>
      </c>
      <c r="L11" t="s">
        <v>37</v>
      </c>
    </row>
    <row r="12" spans="1:12" x14ac:dyDescent="0.3">
      <c r="A12" s="1">
        <v>45228</v>
      </c>
      <c r="B12" t="s">
        <v>18</v>
      </c>
      <c r="C12" t="s">
        <v>76</v>
      </c>
      <c r="D12" t="s">
        <v>42</v>
      </c>
      <c r="E12">
        <v>67</v>
      </c>
      <c r="F12">
        <v>45</v>
      </c>
      <c r="G12">
        <v>148.9</v>
      </c>
      <c r="H12">
        <v>9</v>
      </c>
      <c r="I12">
        <v>2</v>
      </c>
      <c r="J12" t="s">
        <v>20</v>
      </c>
      <c r="K12" t="s">
        <v>17</v>
      </c>
      <c r="L12" t="s">
        <v>33</v>
      </c>
    </row>
    <row r="13" spans="1:12" x14ac:dyDescent="0.3">
      <c r="A13" s="1">
        <v>45058</v>
      </c>
      <c r="B13" t="s">
        <v>25</v>
      </c>
      <c r="C13" t="s">
        <v>74</v>
      </c>
      <c r="D13" t="s">
        <v>42</v>
      </c>
      <c r="E13">
        <v>85</v>
      </c>
      <c r="F13">
        <v>57</v>
      </c>
      <c r="G13">
        <v>149.1</v>
      </c>
      <c r="H13">
        <v>12</v>
      </c>
      <c r="I13">
        <v>2</v>
      </c>
      <c r="J13" t="s">
        <v>20</v>
      </c>
      <c r="K13" t="s">
        <v>17</v>
      </c>
      <c r="L13" t="s">
        <v>47</v>
      </c>
    </row>
    <row r="14" spans="1:12" x14ac:dyDescent="0.3">
      <c r="A14" s="1">
        <v>45003</v>
      </c>
      <c r="B14" t="s">
        <v>25</v>
      </c>
      <c r="C14" t="s">
        <v>74</v>
      </c>
      <c r="D14" t="s">
        <v>42</v>
      </c>
      <c r="E14">
        <v>72</v>
      </c>
      <c r="F14">
        <v>50</v>
      </c>
      <c r="G14">
        <v>144</v>
      </c>
      <c r="H14">
        <v>10</v>
      </c>
      <c r="I14">
        <v>2</v>
      </c>
      <c r="J14" t="s">
        <v>20</v>
      </c>
      <c r="K14" t="s">
        <v>17</v>
      </c>
      <c r="L14" t="s">
        <v>47</v>
      </c>
    </row>
    <row r="15" spans="1:12" x14ac:dyDescent="0.3">
      <c r="A15" s="1">
        <v>44787</v>
      </c>
      <c r="B15" t="s">
        <v>12</v>
      </c>
      <c r="C15" t="s">
        <v>78</v>
      </c>
      <c r="D15" t="s">
        <v>49</v>
      </c>
      <c r="E15">
        <v>106</v>
      </c>
      <c r="F15">
        <v>121</v>
      </c>
      <c r="G15">
        <v>87.6</v>
      </c>
      <c r="H15">
        <v>13</v>
      </c>
      <c r="I15">
        <v>1</v>
      </c>
      <c r="J15" t="s">
        <v>20</v>
      </c>
      <c r="K15" t="s">
        <v>17</v>
      </c>
      <c r="L15" t="s">
        <v>46</v>
      </c>
    </row>
    <row r="16" spans="1:12" x14ac:dyDescent="0.3">
      <c r="A16" s="1">
        <v>46082</v>
      </c>
      <c r="B16" t="s">
        <v>12</v>
      </c>
      <c r="C16" t="s">
        <v>71</v>
      </c>
      <c r="D16" t="s">
        <v>13</v>
      </c>
      <c r="E16">
        <v>0</v>
      </c>
      <c r="F16">
        <v>4</v>
      </c>
      <c r="G16">
        <v>0</v>
      </c>
      <c r="H16">
        <v>0</v>
      </c>
      <c r="I16">
        <v>0</v>
      </c>
      <c r="J16" t="s">
        <v>79</v>
      </c>
      <c r="K16" t="s">
        <v>14</v>
      </c>
      <c r="L16" t="s">
        <v>15</v>
      </c>
    </row>
    <row r="17" spans="1:12" x14ac:dyDescent="0.3">
      <c r="A17" s="1">
        <v>46080</v>
      </c>
      <c r="B17" t="s">
        <v>12</v>
      </c>
      <c r="C17" t="s">
        <v>71</v>
      </c>
      <c r="D17" t="s">
        <v>13</v>
      </c>
      <c r="E17">
        <v>31</v>
      </c>
      <c r="F17">
        <v>37</v>
      </c>
      <c r="G17">
        <v>83.7</v>
      </c>
      <c r="H17">
        <v>4</v>
      </c>
      <c r="I17">
        <v>0</v>
      </c>
      <c r="J17" t="s">
        <v>79</v>
      </c>
      <c r="K17" t="s">
        <v>14</v>
      </c>
      <c r="L17" t="s">
        <v>15</v>
      </c>
    </row>
    <row r="18" spans="1:12" x14ac:dyDescent="0.3">
      <c r="A18" s="1">
        <v>45850</v>
      </c>
      <c r="B18" t="s">
        <v>18</v>
      </c>
      <c r="C18" t="s">
        <v>76</v>
      </c>
      <c r="D18" t="s">
        <v>32</v>
      </c>
      <c r="E18">
        <v>45</v>
      </c>
      <c r="F18">
        <v>36</v>
      </c>
      <c r="G18">
        <v>125</v>
      </c>
      <c r="H18">
        <v>6</v>
      </c>
      <c r="I18">
        <v>1</v>
      </c>
      <c r="J18" t="s">
        <v>79</v>
      </c>
      <c r="K18" t="s">
        <v>14</v>
      </c>
      <c r="L18" t="s">
        <v>33</v>
      </c>
    </row>
    <row r="19" spans="1:12" x14ac:dyDescent="0.3">
      <c r="A19" s="1">
        <v>44910</v>
      </c>
      <c r="B19" t="s">
        <v>18</v>
      </c>
      <c r="C19" t="s">
        <v>76</v>
      </c>
      <c r="D19" t="s">
        <v>32</v>
      </c>
      <c r="E19">
        <v>79</v>
      </c>
      <c r="F19">
        <v>55</v>
      </c>
      <c r="G19">
        <v>143.6</v>
      </c>
      <c r="H19">
        <v>11</v>
      </c>
      <c r="I19">
        <v>2</v>
      </c>
      <c r="J19" t="s">
        <v>20</v>
      </c>
      <c r="K19" t="s">
        <v>17</v>
      </c>
      <c r="L19" t="s">
        <v>33</v>
      </c>
    </row>
    <row r="20" spans="1:12" x14ac:dyDescent="0.3">
      <c r="A20" s="1">
        <v>45963</v>
      </c>
      <c r="B20" t="s">
        <v>12</v>
      </c>
      <c r="C20" t="s">
        <v>75</v>
      </c>
      <c r="D20" t="s">
        <v>30</v>
      </c>
      <c r="E20">
        <v>72</v>
      </c>
      <c r="F20">
        <v>88</v>
      </c>
      <c r="G20">
        <v>81.8</v>
      </c>
      <c r="H20">
        <v>9</v>
      </c>
      <c r="I20">
        <v>0</v>
      </c>
      <c r="J20" t="s">
        <v>79</v>
      </c>
      <c r="K20" t="s">
        <v>17</v>
      </c>
      <c r="L20" t="s">
        <v>31</v>
      </c>
    </row>
    <row r="21" spans="1:12" x14ac:dyDescent="0.3">
      <c r="A21" s="1">
        <v>44954</v>
      </c>
      <c r="B21" t="s">
        <v>12</v>
      </c>
      <c r="C21" t="s">
        <v>71</v>
      </c>
      <c r="D21" t="s">
        <v>48</v>
      </c>
      <c r="E21">
        <v>112</v>
      </c>
      <c r="F21">
        <v>124</v>
      </c>
      <c r="G21">
        <v>90.3</v>
      </c>
      <c r="H21">
        <v>14</v>
      </c>
      <c r="I21">
        <v>2</v>
      </c>
      <c r="J21" t="s">
        <v>20</v>
      </c>
      <c r="K21" t="s">
        <v>17</v>
      </c>
      <c r="L21" t="s">
        <v>15</v>
      </c>
    </row>
    <row r="22" spans="1:12" x14ac:dyDescent="0.3">
      <c r="A22" s="1">
        <v>45235</v>
      </c>
      <c r="B22" t="s">
        <v>12</v>
      </c>
      <c r="C22" t="s">
        <v>76</v>
      </c>
      <c r="D22" t="s">
        <v>40</v>
      </c>
      <c r="E22">
        <v>114</v>
      </c>
      <c r="F22">
        <v>132</v>
      </c>
      <c r="G22">
        <v>86.4</v>
      </c>
      <c r="H22">
        <v>14</v>
      </c>
      <c r="I22">
        <v>2</v>
      </c>
      <c r="J22" t="s">
        <v>20</v>
      </c>
      <c r="K22" t="s">
        <v>17</v>
      </c>
      <c r="L22" t="s">
        <v>41</v>
      </c>
    </row>
    <row r="23" spans="1:12" x14ac:dyDescent="0.3">
      <c r="A23" s="1">
        <v>44730</v>
      </c>
      <c r="B23" t="s">
        <v>25</v>
      </c>
      <c r="C23" t="s">
        <v>72</v>
      </c>
      <c r="D23" t="s">
        <v>40</v>
      </c>
      <c r="E23">
        <v>77</v>
      </c>
      <c r="F23">
        <v>52</v>
      </c>
      <c r="G23">
        <v>148.1</v>
      </c>
      <c r="H23">
        <v>11</v>
      </c>
      <c r="I23">
        <v>2</v>
      </c>
      <c r="J23" t="s">
        <v>20</v>
      </c>
      <c r="K23" t="s">
        <v>17</v>
      </c>
      <c r="L23" t="s">
        <v>50</v>
      </c>
    </row>
    <row r="24" spans="1:12" x14ac:dyDescent="0.3">
      <c r="A24" s="1">
        <v>46039</v>
      </c>
      <c r="B24" t="s">
        <v>25</v>
      </c>
      <c r="C24" t="s">
        <v>72</v>
      </c>
      <c r="D24" t="s">
        <v>29</v>
      </c>
      <c r="E24">
        <v>96</v>
      </c>
      <c r="F24">
        <v>61</v>
      </c>
      <c r="G24">
        <v>157.30000000000001</v>
      </c>
      <c r="H24">
        <v>13</v>
      </c>
      <c r="I24">
        <v>3</v>
      </c>
      <c r="J24" t="s">
        <v>20</v>
      </c>
      <c r="K24" t="s">
        <v>17</v>
      </c>
      <c r="L24" t="s">
        <v>27</v>
      </c>
    </row>
    <row r="25" spans="1:12" x14ac:dyDescent="0.3">
      <c r="A25" s="1">
        <v>45158</v>
      </c>
      <c r="B25" t="s">
        <v>18</v>
      </c>
      <c r="C25" t="s">
        <v>77</v>
      </c>
      <c r="D25" t="s">
        <v>43</v>
      </c>
      <c r="E25">
        <v>74</v>
      </c>
      <c r="F25">
        <v>52</v>
      </c>
      <c r="G25">
        <v>142.30000000000001</v>
      </c>
      <c r="H25">
        <v>10</v>
      </c>
      <c r="I25">
        <v>2</v>
      </c>
      <c r="J25" t="s">
        <v>20</v>
      </c>
      <c r="K25" t="s">
        <v>17</v>
      </c>
      <c r="L25" t="s">
        <v>44</v>
      </c>
    </row>
    <row r="26" spans="1:12" x14ac:dyDescent="0.3">
      <c r="A26" s="1">
        <v>46068</v>
      </c>
      <c r="B26" t="s">
        <v>18</v>
      </c>
      <c r="C26" t="s">
        <v>71</v>
      </c>
      <c r="D26" t="s">
        <v>23</v>
      </c>
      <c r="E26" t="s">
        <v>24</v>
      </c>
      <c r="F26">
        <v>17</v>
      </c>
      <c r="G26">
        <v>94.1</v>
      </c>
      <c r="H26">
        <v>2</v>
      </c>
      <c r="I26">
        <v>0</v>
      </c>
      <c r="J26" t="s">
        <v>79</v>
      </c>
      <c r="K26" t="s">
        <v>17</v>
      </c>
      <c r="L26" t="s">
        <v>21</v>
      </c>
    </row>
    <row r="27" spans="1:12" x14ac:dyDescent="0.3">
      <c r="A27" s="1">
        <v>46058</v>
      </c>
      <c r="B27" t="s">
        <v>25</v>
      </c>
      <c r="C27" t="s">
        <v>72</v>
      </c>
      <c r="D27" t="s">
        <v>26</v>
      </c>
      <c r="E27">
        <v>87</v>
      </c>
      <c r="F27">
        <v>41</v>
      </c>
      <c r="G27">
        <v>212.2</v>
      </c>
      <c r="H27">
        <v>12</v>
      </c>
      <c r="I27">
        <v>3</v>
      </c>
      <c r="J27" t="s">
        <v>20</v>
      </c>
      <c r="K27" t="s">
        <v>17</v>
      </c>
      <c r="L27" t="s">
        <v>27</v>
      </c>
    </row>
    <row r="28" spans="1:12" x14ac:dyDescent="0.3">
      <c r="A28" s="1">
        <v>46051</v>
      </c>
      <c r="B28" t="s">
        <v>25</v>
      </c>
      <c r="C28" t="s">
        <v>73</v>
      </c>
      <c r="D28" t="s">
        <v>26</v>
      </c>
      <c r="E28" t="s">
        <v>28</v>
      </c>
      <c r="F28">
        <v>27</v>
      </c>
      <c r="G28">
        <v>200</v>
      </c>
      <c r="H28">
        <v>8</v>
      </c>
      <c r="I28">
        <v>2</v>
      </c>
      <c r="J28" t="s">
        <v>20</v>
      </c>
      <c r="K28" t="s">
        <v>17</v>
      </c>
      <c r="L28" t="s">
        <v>27</v>
      </c>
    </row>
    <row r="29" spans="1:12" x14ac:dyDescent="0.3">
      <c r="A29" s="1">
        <v>46048</v>
      </c>
      <c r="B29" t="s">
        <v>25</v>
      </c>
      <c r="C29" t="s">
        <v>74</v>
      </c>
      <c r="D29" t="s">
        <v>26</v>
      </c>
      <c r="E29">
        <v>6</v>
      </c>
      <c r="F29">
        <v>7</v>
      </c>
      <c r="G29">
        <v>85.7</v>
      </c>
      <c r="H29">
        <v>1</v>
      </c>
      <c r="I29">
        <v>0</v>
      </c>
      <c r="J29" t="s">
        <v>79</v>
      </c>
      <c r="K29" t="s">
        <v>14</v>
      </c>
      <c r="L29"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5212-6337-493E-8AF6-8A82967E7A8A}">
  <dimension ref="A2:U111"/>
  <sheetViews>
    <sheetView zoomScale="117" workbookViewId="0">
      <selection activeCell="M16" sqref="M16"/>
    </sheetView>
  </sheetViews>
  <sheetFormatPr defaultRowHeight="14.4" x14ac:dyDescent="0.3"/>
  <cols>
    <col min="1" max="1" width="12.5546875" bestFit="1" customWidth="1"/>
    <col min="2" max="2" width="11.5546875" bestFit="1" customWidth="1"/>
    <col min="3" max="3" width="11.21875" bestFit="1" customWidth="1"/>
    <col min="4" max="4" width="4.33203125" bestFit="1" customWidth="1"/>
    <col min="5" max="5" width="10.77734375" bestFit="1" customWidth="1"/>
    <col min="6" max="6" width="5" bestFit="1" customWidth="1"/>
    <col min="7" max="7" width="16.77734375" bestFit="1" customWidth="1"/>
    <col min="8" max="9" width="9.21875" bestFit="1" customWidth="1"/>
    <col min="10" max="10" width="14" bestFit="1" customWidth="1"/>
    <col min="11" max="11" width="12.5546875" bestFit="1" customWidth="1"/>
    <col min="12" max="12" width="11.21875" bestFit="1" customWidth="1"/>
    <col min="13" max="13" width="11.5546875" bestFit="1" customWidth="1"/>
    <col min="14" max="14" width="27.33203125" bestFit="1" customWidth="1"/>
    <col min="15" max="15" width="11.5546875" bestFit="1" customWidth="1"/>
    <col min="16" max="16" width="10.5546875" bestFit="1" customWidth="1"/>
    <col min="17" max="17" width="14" bestFit="1" customWidth="1"/>
    <col min="18" max="18" width="11.5546875" bestFit="1" customWidth="1"/>
    <col min="19" max="19" width="21.6640625" bestFit="1" customWidth="1"/>
    <col min="20" max="20" width="12.5546875" bestFit="1" customWidth="1"/>
    <col min="21" max="21" width="12.6640625" bestFit="1" customWidth="1"/>
    <col min="22" max="22" width="21.6640625" bestFit="1" customWidth="1"/>
    <col min="23" max="23" width="16" bestFit="1" customWidth="1"/>
    <col min="24" max="24" width="15" bestFit="1" customWidth="1"/>
    <col min="25" max="25" width="18.44140625" bestFit="1" customWidth="1"/>
    <col min="26" max="26" width="19.5546875" bestFit="1" customWidth="1"/>
    <col min="27" max="27" width="22.33203125" bestFit="1" customWidth="1"/>
    <col min="28" max="28" width="18.77734375" bestFit="1" customWidth="1"/>
    <col min="29" max="29" width="4.33203125" bestFit="1" customWidth="1"/>
    <col min="30" max="30" width="21.6640625" bestFit="1" customWidth="1"/>
    <col min="31" max="31" width="11" bestFit="1" customWidth="1"/>
    <col min="32" max="32" width="13.77734375" bestFit="1" customWidth="1"/>
    <col min="33" max="33" width="18.33203125" bestFit="1" customWidth="1"/>
    <col min="34" max="34" width="21" bestFit="1" customWidth="1"/>
    <col min="35" max="35" width="10.77734375" bestFit="1" customWidth="1"/>
  </cols>
  <sheetData>
    <row r="2" spans="1:15" x14ac:dyDescent="0.3">
      <c r="N2" s="14" t="s">
        <v>81</v>
      </c>
      <c r="O2" t="s">
        <v>90</v>
      </c>
    </row>
    <row r="3" spans="1:15" x14ac:dyDescent="0.3">
      <c r="A3" s="14" t="s">
        <v>81</v>
      </c>
      <c r="B3" t="s">
        <v>83</v>
      </c>
      <c r="N3" s="15" t="s">
        <v>12</v>
      </c>
      <c r="O3">
        <v>692</v>
      </c>
    </row>
    <row r="4" spans="1:15" x14ac:dyDescent="0.3">
      <c r="A4" s="15" t="s">
        <v>12</v>
      </c>
      <c r="B4">
        <v>8</v>
      </c>
      <c r="N4" s="15" t="s">
        <v>18</v>
      </c>
      <c r="O4">
        <v>284</v>
      </c>
    </row>
    <row r="5" spans="1:15" x14ac:dyDescent="0.3">
      <c r="A5" s="15" t="s">
        <v>18</v>
      </c>
      <c r="B5">
        <v>7</v>
      </c>
      <c r="N5" s="15" t="s">
        <v>34</v>
      </c>
      <c r="O5">
        <v>234</v>
      </c>
    </row>
    <row r="6" spans="1:15" x14ac:dyDescent="0.3">
      <c r="A6" s="15" t="s">
        <v>34</v>
      </c>
      <c r="B6">
        <v>1</v>
      </c>
      <c r="N6" s="15" t="s">
        <v>25</v>
      </c>
      <c r="O6">
        <v>450</v>
      </c>
    </row>
    <row r="7" spans="1:15" x14ac:dyDescent="0.3">
      <c r="A7" s="15" t="s">
        <v>25</v>
      </c>
      <c r="B7">
        <v>10</v>
      </c>
      <c r="N7" s="15" t="s">
        <v>82</v>
      </c>
      <c r="O7">
        <v>1660</v>
      </c>
    </row>
    <row r="8" spans="1:15" x14ac:dyDescent="0.3">
      <c r="A8" s="15" t="s">
        <v>82</v>
      </c>
      <c r="B8">
        <v>26</v>
      </c>
      <c r="C8">
        <f>GETPIVOTDATA("Award",$A$3)</f>
        <v>26</v>
      </c>
    </row>
    <row r="12" spans="1:15" x14ac:dyDescent="0.3">
      <c r="N12" s="14" t="s">
        <v>81</v>
      </c>
      <c r="O12" t="s">
        <v>84</v>
      </c>
    </row>
    <row r="13" spans="1:15" x14ac:dyDescent="0.3">
      <c r="N13" s="15" t="s">
        <v>15</v>
      </c>
      <c r="O13">
        <v>201</v>
      </c>
    </row>
    <row r="14" spans="1:15" x14ac:dyDescent="0.3">
      <c r="N14" s="15" t="s">
        <v>21</v>
      </c>
      <c r="O14">
        <v>113</v>
      </c>
    </row>
    <row r="15" spans="1:15" x14ac:dyDescent="0.3">
      <c r="N15" s="15" t="s">
        <v>41</v>
      </c>
      <c r="O15">
        <v>114</v>
      </c>
    </row>
    <row r="16" spans="1:15" x14ac:dyDescent="0.3">
      <c r="N16" s="15" t="s">
        <v>33</v>
      </c>
      <c r="O16">
        <v>191</v>
      </c>
    </row>
    <row r="17" spans="1:17" x14ac:dyDescent="0.3">
      <c r="N17" s="15" t="s">
        <v>46</v>
      </c>
      <c r="O17">
        <v>211</v>
      </c>
    </row>
    <row r="18" spans="1:17" x14ac:dyDescent="0.3">
      <c r="N18" s="15" t="s">
        <v>31</v>
      </c>
      <c r="O18">
        <v>72</v>
      </c>
    </row>
    <row r="19" spans="1:17" x14ac:dyDescent="0.3">
      <c r="N19" s="15" t="s">
        <v>37</v>
      </c>
      <c r="O19">
        <v>149</v>
      </c>
    </row>
    <row r="20" spans="1:17" x14ac:dyDescent="0.3">
      <c r="N20" s="15" t="s">
        <v>44</v>
      </c>
      <c r="O20">
        <v>74</v>
      </c>
    </row>
    <row r="21" spans="1:17" x14ac:dyDescent="0.3">
      <c r="A21" s="14" t="s">
        <v>81</v>
      </c>
      <c r="B21" t="s">
        <v>84</v>
      </c>
      <c r="N21" s="15" t="s">
        <v>50</v>
      </c>
      <c r="O21">
        <v>77</v>
      </c>
    </row>
    <row r="22" spans="1:17" x14ac:dyDescent="0.3">
      <c r="A22" s="15" t="s">
        <v>97</v>
      </c>
      <c r="B22">
        <v>262</v>
      </c>
      <c r="N22" s="15" t="s">
        <v>47</v>
      </c>
      <c r="O22">
        <v>157</v>
      </c>
    </row>
    <row r="23" spans="1:17" x14ac:dyDescent="0.3">
      <c r="A23" s="15" t="s">
        <v>98</v>
      </c>
      <c r="B23">
        <v>629</v>
      </c>
      <c r="N23" s="15" t="s">
        <v>39</v>
      </c>
      <c r="O23">
        <v>233</v>
      </c>
    </row>
    <row r="24" spans="1:17" x14ac:dyDescent="0.3">
      <c r="A24" s="15" t="s">
        <v>100</v>
      </c>
      <c r="B24">
        <v>382</v>
      </c>
      <c r="N24" s="15" t="s">
        <v>27</v>
      </c>
      <c r="O24">
        <v>189</v>
      </c>
    </row>
    <row r="25" spans="1:17" x14ac:dyDescent="0.3">
      <c r="A25" s="15" t="s">
        <v>99</v>
      </c>
      <c r="B25">
        <v>117</v>
      </c>
      <c r="N25" s="15" t="s">
        <v>82</v>
      </c>
      <c r="O25">
        <v>1781</v>
      </c>
    </row>
    <row r="26" spans="1:17" x14ac:dyDescent="0.3">
      <c r="A26" s="15" t="s">
        <v>101</v>
      </c>
      <c r="B26">
        <v>391</v>
      </c>
    </row>
    <row r="27" spans="1:17" x14ac:dyDescent="0.3">
      <c r="A27" s="15" t="s">
        <v>82</v>
      </c>
      <c r="B27">
        <v>1781</v>
      </c>
      <c r="C27">
        <f>GETPIVOTDATA("Runs",$A$21)</f>
        <v>1781</v>
      </c>
    </row>
    <row r="28" spans="1:17" x14ac:dyDescent="0.3">
      <c r="N28" s="14" t="s">
        <v>81</v>
      </c>
      <c r="O28" t="s">
        <v>88</v>
      </c>
      <c r="P28" t="s">
        <v>89</v>
      </c>
      <c r="Q28" t="s">
        <v>85</v>
      </c>
    </row>
    <row r="29" spans="1:17" x14ac:dyDescent="0.3">
      <c r="N29" s="15" t="s">
        <v>12</v>
      </c>
      <c r="O29">
        <v>8</v>
      </c>
      <c r="P29">
        <v>8</v>
      </c>
      <c r="Q29">
        <v>8</v>
      </c>
    </row>
    <row r="30" spans="1:17" x14ac:dyDescent="0.3">
      <c r="N30" s="15" t="s">
        <v>18</v>
      </c>
      <c r="O30">
        <v>7</v>
      </c>
      <c r="P30">
        <v>7</v>
      </c>
      <c r="Q30">
        <v>7</v>
      </c>
    </row>
    <row r="31" spans="1:17" x14ac:dyDescent="0.3">
      <c r="N31" s="15" t="s">
        <v>34</v>
      </c>
      <c r="O31">
        <v>1</v>
      </c>
      <c r="P31">
        <v>1</v>
      </c>
      <c r="Q31">
        <v>1</v>
      </c>
    </row>
    <row r="32" spans="1:17" x14ac:dyDescent="0.3">
      <c r="A32" s="14" t="s">
        <v>81</v>
      </c>
      <c r="B32" t="s">
        <v>90</v>
      </c>
      <c r="N32" s="15" t="s">
        <v>25</v>
      </c>
      <c r="O32">
        <v>10</v>
      </c>
      <c r="P32">
        <v>10</v>
      </c>
      <c r="Q32">
        <v>10</v>
      </c>
    </row>
    <row r="33" spans="1:21" x14ac:dyDescent="0.3">
      <c r="A33" s="15" t="s">
        <v>12</v>
      </c>
      <c r="B33">
        <v>692</v>
      </c>
      <c r="N33" s="15" t="s">
        <v>82</v>
      </c>
      <c r="O33">
        <v>26</v>
      </c>
      <c r="P33">
        <v>26</v>
      </c>
      <c r="Q33">
        <v>26</v>
      </c>
    </row>
    <row r="34" spans="1:21" x14ac:dyDescent="0.3">
      <c r="A34" s="15" t="s">
        <v>18</v>
      </c>
      <c r="B34">
        <v>284</v>
      </c>
    </row>
    <row r="35" spans="1:21" x14ac:dyDescent="0.3">
      <c r="A35" s="15" t="s">
        <v>34</v>
      </c>
      <c r="B35">
        <v>234</v>
      </c>
    </row>
    <row r="36" spans="1:21" x14ac:dyDescent="0.3">
      <c r="A36" s="15" t="s">
        <v>25</v>
      </c>
      <c r="B36">
        <v>450</v>
      </c>
      <c r="N36" s="14" t="s">
        <v>81</v>
      </c>
      <c r="O36" t="s">
        <v>91</v>
      </c>
      <c r="P36" t="s">
        <v>92</v>
      </c>
      <c r="Q36" t="s">
        <v>93</v>
      </c>
    </row>
    <row r="37" spans="1:21" x14ac:dyDescent="0.3">
      <c r="A37" s="15" t="s">
        <v>82</v>
      </c>
      <c r="B37">
        <v>1660</v>
      </c>
      <c r="N37" s="15" t="s">
        <v>12</v>
      </c>
      <c r="O37">
        <v>14</v>
      </c>
      <c r="P37">
        <v>35</v>
      </c>
      <c r="Q37">
        <v>90.4</v>
      </c>
    </row>
    <row r="38" spans="1:21" x14ac:dyDescent="0.3">
      <c r="N38" s="15" t="s">
        <v>18</v>
      </c>
      <c r="O38">
        <v>1</v>
      </c>
      <c r="P38">
        <v>33</v>
      </c>
      <c r="Q38">
        <v>124.5</v>
      </c>
    </row>
    <row r="39" spans="1:21" x14ac:dyDescent="0.3">
      <c r="N39" s="15" t="s">
        <v>34</v>
      </c>
      <c r="O39">
        <v>2</v>
      </c>
      <c r="P39">
        <v>3</v>
      </c>
      <c r="Q39">
        <v>63.4</v>
      </c>
    </row>
    <row r="40" spans="1:21" x14ac:dyDescent="0.3">
      <c r="N40" s="15" t="s">
        <v>25</v>
      </c>
      <c r="O40">
        <v>0</v>
      </c>
      <c r="P40">
        <v>7</v>
      </c>
      <c r="Q40">
        <v>136.80000000000001</v>
      </c>
    </row>
    <row r="41" spans="1:21" x14ac:dyDescent="0.3">
      <c r="N41" s="15" t="s">
        <v>82</v>
      </c>
      <c r="O41">
        <v>17</v>
      </c>
      <c r="P41">
        <v>78</v>
      </c>
      <c r="Q41">
        <v>103.77500000000001</v>
      </c>
    </row>
    <row r="42" spans="1:21" x14ac:dyDescent="0.3">
      <c r="A42" s="14" t="s">
        <v>81</v>
      </c>
      <c r="B42" t="s">
        <v>90</v>
      </c>
    </row>
    <row r="43" spans="1:21" x14ac:dyDescent="0.3">
      <c r="A43" s="15" t="s">
        <v>19</v>
      </c>
      <c r="B43">
        <v>55</v>
      </c>
    </row>
    <row r="44" spans="1:21" x14ac:dyDescent="0.3">
      <c r="A44" s="15" t="s">
        <v>45</v>
      </c>
      <c r="B44">
        <v>118</v>
      </c>
      <c r="N44" s="14" t="s">
        <v>81</v>
      </c>
      <c r="O44" t="s">
        <v>85</v>
      </c>
      <c r="T44" s="14" t="s">
        <v>81</v>
      </c>
      <c r="U44" t="s">
        <v>96</v>
      </c>
    </row>
    <row r="45" spans="1:21" x14ac:dyDescent="0.3">
      <c r="A45" s="15" t="s">
        <v>38</v>
      </c>
      <c r="B45">
        <v>155</v>
      </c>
      <c r="N45" s="15" t="s">
        <v>19</v>
      </c>
      <c r="O45">
        <v>1</v>
      </c>
      <c r="T45" s="15" t="s">
        <v>12</v>
      </c>
      <c r="U45">
        <v>75.5</v>
      </c>
    </row>
    <row r="46" spans="1:21" x14ac:dyDescent="0.3">
      <c r="A46" s="15" t="s">
        <v>16</v>
      </c>
      <c r="B46">
        <v>68</v>
      </c>
      <c r="N46" s="15" t="s">
        <v>45</v>
      </c>
      <c r="O46">
        <v>1</v>
      </c>
      <c r="T46" s="15" t="s">
        <v>18</v>
      </c>
      <c r="U46">
        <v>133.14285714285717</v>
      </c>
    </row>
    <row r="47" spans="1:21" x14ac:dyDescent="0.3">
      <c r="A47" s="15" t="s">
        <v>22</v>
      </c>
      <c r="B47">
        <v>24</v>
      </c>
      <c r="N47" s="15" t="s">
        <v>38</v>
      </c>
      <c r="O47">
        <v>3</v>
      </c>
      <c r="T47" s="15" t="s">
        <v>34</v>
      </c>
      <c r="U47">
        <v>63.6</v>
      </c>
    </row>
    <row r="48" spans="1:21" x14ac:dyDescent="0.3">
      <c r="A48" s="15" t="s">
        <v>35</v>
      </c>
      <c r="B48">
        <v>234</v>
      </c>
      <c r="N48" s="15" t="s">
        <v>16</v>
      </c>
      <c r="O48">
        <v>1</v>
      </c>
      <c r="T48" s="15" t="s">
        <v>25</v>
      </c>
      <c r="U48">
        <v>154.63999999999999</v>
      </c>
    </row>
    <row r="49" spans="1:21" x14ac:dyDescent="0.3">
      <c r="A49" s="15" t="s">
        <v>42</v>
      </c>
      <c r="B49">
        <v>152</v>
      </c>
      <c r="N49" s="15" t="s">
        <v>22</v>
      </c>
      <c r="O49">
        <v>1</v>
      </c>
      <c r="T49" s="15" t="s">
        <v>82</v>
      </c>
      <c r="U49">
        <v>121</v>
      </c>
    </row>
    <row r="50" spans="1:21" x14ac:dyDescent="0.3">
      <c r="A50" s="15" t="s">
        <v>49</v>
      </c>
      <c r="B50">
        <v>121</v>
      </c>
      <c r="N50" s="15" t="s">
        <v>35</v>
      </c>
      <c r="O50">
        <v>1</v>
      </c>
    </row>
    <row r="51" spans="1:21" x14ac:dyDescent="0.3">
      <c r="A51" s="15" t="s">
        <v>13</v>
      </c>
      <c r="B51">
        <v>41</v>
      </c>
      <c r="N51" s="15" t="s">
        <v>42</v>
      </c>
      <c r="O51">
        <v>3</v>
      </c>
    </row>
    <row r="52" spans="1:21" x14ac:dyDescent="0.3">
      <c r="A52" s="15" t="s">
        <v>32</v>
      </c>
      <c r="B52">
        <v>91</v>
      </c>
      <c r="N52" s="15" t="s">
        <v>49</v>
      </c>
      <c r="O52">
        <v>1</v>
      </c>
    </row>
    <row r="53" spans="1:21" x14ac:dyDescent="0.3">
      <c r="A53" s="15" t="s">
        <v>30</v>
      </c>
      <c r="B53">
        <v>88</v>
      </c>
      <c r="N53" s="15" t="s">
        <v>13</v>
      </c>
      <c r="O53">
        <v>2</v>
      </c>
    </row>
    <row r="54" spans="1:21" x14ac:dyDescent="0.3">
      <c r="A54" s="15" t="s">
        <v>48</v>
      </c>
      <c r="B54">
        <v>124</v>
      </c>
      <c r="N54" s="15" t="s">
        <v>32</v>
      </c>
      <c r="O54">
        <v>2</v>
      </c>
    </row>
    <row r="55" spans="1:21" x14ac:dyDescent="0.3">
      <c r="A55" s="15" t="s">
        <v>40</v>
      </c>
      <c r="B55">
        <v>184</v>
      </c>
      <c r="N55" s="15" t="s">
        <v>30</v>
      </c>
      <c r="O55">
        <v>1</v>
      </c>
    </row>
    <row r="56" spans="1:21" x14ac:dyDescent="0.3">
      <c r="A56" s="15" t="s">
        <v>29</v>
      </c>
      <c r="B56">
        <v>61</v>
      </c>
      <c r="N56" s="15" t="s">
        <v>48</v>
      </c>
      <c r="O56">
        <v>1</v>
      </c>
    </row>
    <row r="57" spans="1:21" x14ac:dyDescent="0.3">
      <c r="A57" s="15" t="s">
        <v>43</v>
      </c>
      <c r="B57">
        <v>52</v>
      </c>
      <c r="N57" s="15" t="s">
        <v>40</v>
      </c>
      <c r="O57">
        <v>2</v>
      </c>
    </row>
    <row r="58" spans="1:21" x14ac:dyDescent="0.3">
      <c r="A58" s="15" t="s">
        <v>23</v>
      </c>
      <c r="B58">
        <v>17</v>
      </c>
      <c r="N58" s="15" t="s">
        <v>29</v>
      </c>
      <c r="O58">
        <v>1</v>
      </c>
    </row>
    <row r="59" spans="1:21" x14ac:dyDescent="0.3">
      <c r="A59" s="15" t="s">
        <v>26</v>
      </c>
      <c r="B59">
        <v>75</v>
      </c>
      <c r="N59" s="15" t="s">
        <v>43</v>
      </c>
      <c r="O59">
        <v>1</v>
      </c>
    </row>
    <row r="60" spans="1:21" x14ac:dyDescent="0.3">
      <c r="A60" s="15" t="s">
        <v>82</v>
      </c>
      <c r="B60">
        <v>1660</v>
      </c>
      <c r="N60" s="15" t="s">
        <v>23</v>
      </c>
      <c r="O60">
        <v>1</v>
      </c>
    </row>
    <row r="61" spans="1:21" x14ac:dyDescent="0.3">
      <c r="N61" s="15" t="s">
        <v>26</v>
      </c>
      <c r="O61">
        <v>3</v>
      </c>
    </row>
    <row r="62" spans="1:21" x14ac:dyDescent="0.3">
      <c r="N62" s="15" t="s">
        <v>82</v>
      </c>
      <c r="O62">
        <v>26</v>
      </c>
      <c r="P62">
        <f>GETPIVOTDATA("Result",$N$44)</f>
        <v>26</v>
      </c>
    </row>
    <row r="64" spans="1:21" x14ac:dyDescent="0.3">
      <c r="A64" s="14" t="s">
        <v>81</v>
      </c>
      <c r="B64" t="s">
        <v>84</v>
      </c>
    </row>
    <row r="65" spans="1:15" x14ac:dyDescent="0.3">
      <c r="A65" s="15" t="s">
        <v>12</v>
      </c>
      <c r="B65">
        <v>598</v>
      </c>
      <c r="N65" s="14" t="s">
        <v>81</v>
      </c>
      <c r="O65" t="s">
        <v>84</v>
      </c>
    </row>
    <row r="66" spans="1:15" x14ac:dyDescent="0.3">
      <c r="A66" s="15" t="s">
        <v>18</v>
      </c>
      <c r="B66">
        <v>378</v>
      </c>
      <c r="N66" s="15" t="s">
        <v>15</v>
      </c>
      <c r="O66">
        <v>201</v>
      </c>
    </row>
    <row r="67" spans="1:15" x14ac:dyDescent="0.3">
      <c r="A67" s="15" t="s">
        <v>34</v>
      </c>
      <c r="B67">
        <v>149</v>
      </c>
      <c r="N67" s="15" t="s">
        <v>21</v>
      </c>
      <c r="O67">
        <v>113</v>
      </c>
    </row>
    <row r="68" spans="1:15" x14ac:dyDescent="0.3">
      <c r="A68" s="15" t="s">
        <v>25</v>
      </c>
      <c r="B68">
        <v>656</v>
      </c>
      <c r="N68" s="15" t="s">
        <v>41</v>
      </c>
      <c r="O68">
        <v>114</v>
      </c>
    </row>
    <row r="69" spans="1:15" x14ac:dyDescent="0.3">
      <c r="A69" s="15" t="s">
        <v>82</v>
      </c>
      <c r="B69">
        <v>1781</v>
      </c>
      <c r="N69" s="15" t="s">
        <v>33</v>
      </c>
      <c r="O69">
        <v>191</v>
      </c>
    </row>
    <row r="70" spans="1:15" x14ac:dyDescent="0.3">
      <c r="N70" s="15" t="s">
        <v>46</v>
      </c>
      <c r="O70">
        <v>211</v>
      </c>
    </row>
    <row r="71" spans="1:15" x14ac:dyDescent="0.3">
      <c r="N71" s="15" t="s">
        <v>31</v>
      </c>
      <c r="O71">
        <v>72</v>
      </c>
    </row>
    <row r="72" spans="1:15" x14ac:dyDescent="0.3">
      <c r="N72" s="15" t="s">
        <v>37</v>
      </c>
      <c r="O72">
        <v>149</v>
      </c>
    </row>
    <row r="73" spans="1:15" x14ac:dyDescent="0.3">
      <c r="N73" s="15" t="s">
        <v>44</v>
      </c>
      <c r="O73">
        <v>74</v>
      </c>
    </row>
    <row r="74" spans="1:15" x14ac:dyDescent="0.3">
      <c r="N74" s="15" t="s">
        <v>50</v>
      </c>
      <c r="O74">
        <v>77</v>
      </c>
    </row>
    <row r="75" spans="1:15" x14ac:dyDescent="0.3">
      <c r="N75" s="15" t="s">
        <v>47</v>
      </c>
      <c r="O75">
        <v>157</v>
      </c>
    </row>
    <row r="76" spans="1:15" x14ac:dyDescent="0.3">
      <c r="A76" s="14" t="s">
        <v>81</v>
      </c>
      <c r="B76" t="s">
        <v>85</v>
      </c>
      <c r="N76" s="15" t="s">
        <v>39</v>
      </c>
      <c r="O76">
        <v>233</v>
      </c>
    </row>
    <row r="77" spans="1:15" x14ac:dyDescent="0.3">
      <c r="A77" s="15" t="s">
        <v>12</v>
      </c>
      <c r="B77">
        <v>8</v>
      </c>
      <c r="N77" s="15" t="s">
        <v>27</v>
      </c>
      <c r="O77">
        <v>189</v>
      </c>
    </row>
    <row r="78" spans="1:15" x14ac:dyDescent="0.3">
      <c r="A78" s="15" t="s">
        <v>18</v>
      </c>
      <c r="B78">
        <v>7</v>
      </c>
      <c r="N78" s="15" t="s">
        <v>82</v>
      </c>
      <c r="O78">
        <v>1781</v>
      </c>
    </row>
    <row r="79" spans="1:15" x14ac:dyDescent="0.3">
      <c r="A79" s="15" t="s">
        <v>34</v>
      </c>
      <c r="B79">
        <v>1</v>
      </c>
    </row>
    <row r="80" spans="1:15" x14ac:dyDescent="0.3">
      <c r="A80" s="15" t="s">
        <v>25</v>
      </c>
      <c r="B80">
        <v>10</v>
      </c>
    </row>
    <row r="81" spans="1:13" x14ac:dyDescent="0.3">
      <c r="A81" s="15" t="s">
        <v>82</v>
      </c>
      <c r="B81">
        <v>26</v>
      </c>
    </row>
    <row r="87" spans="1:13" x14ac:dyDescent="0.3">
      <c r="K87" s="14" t="s">
        <v>81</v>
      </c>
      <c r="L87" t="s">
        <v>90</v>
      </c>
      <c r="M87" t="s">
        <v>84</v>
      </c>
    </row>
    <row r="88" spans="1:13" x14ac:dyDescent="0.3">
      <c r="K88" s="15" t="s">
        <v>12</v>
      </c>
      <c r="L88">
        <v>692</v>
      </c>
      <c r="M88">
        <v>598</v>
      </c>
    </row>
    <row r="89" spans="1:13" x14ac:dyDescent="0.3">
      <c r="K89" s="15" t="s">
        <v>18</v>
      </c>
      <c r="L89">
        <v>284</v>
      </c>
      <c r="M89">
        <v>378</v>
      </c>
    </row>
    <row r="90" spans="1:13" x14ac:dyDescent="0.3">
      <c r="K90" s="15" t="s">
        <v>34</v>
      </c>
      <c r="L90">
        <v>234</v>
      </c>
      <c r="M90">
        <v>149</v>
      </c>
    </row>
    <row r="91" spans="1:13" x14ac:dyDescent="0.3">
      <c r="K91" s="15" t="s">
        <v>25</v>
      </c>
      <c r="L91">
        <v>450</v>
      </c>
      <c r="M91">
        <v>656</v>
      </c>
    </row>
    <row r="92" spans="1:13" x14ac:dyDescent="0.3">
      <c r="K92" s="15" t="s">
        <v>82</v>
      </c>
      <c r="L92">
        <v>1660</v>
      </c>
      <c r="M92">
        <v>1781</v>
      </c>
    </row>
    <row r="102" spans="7:10" x14ac:dyDescent="0.3">
      <c r="G102" s="14" t="s">
        <v>81</v>
      </c>
      <c r="H102" t="s">
        <v>86</v>
      </c>
      <c r="I102" t="s">
        <v>87</v>
      </c>
      <c r="J102" t="s">
        <v>85</v>
      </c>
    </row>
    <row r="103" spans="7:10" x14ac:dyDescent="0.3">
      <c r="G103" s="15" t="s">
        <v>71</v>
      </c>
      <c r="H103">
        <v>39</v>
      </c>
      <c r="I103">
        <v>5</v>
      </c>
      <c r="J103">
        <v>7</v>
      </c>
    </row>
    <row r="104" spans="7:10" x14ac:dyDescent="0.3">
      <c r="G104" s="15" t="s">
        <v>72</v>
      </c>
      <c r="H104">
        <v>48</v>
      </c>
      <c r="I104">
        <v>11</v>
      </c>
      <c r="J104">
        <v>4</v>
      </c>
    </row>
    <row r="105" spans="7:10" x14ac:dyDescent="0.3">
      <c r="G105" s="15" t="s">
        <v>76</v>
      </c>
      <c r="H105">
        <v>40</v>
      </c>
      <c r="I105">
        <v>7</v>
      </c>
      <c r="J105">
        <v>4</v>
      </c>
    </row>
    <row r="106" spans="7:10" x14ac:dyDescent="0.3">
      <c r="G106" s="15" t="s">
        <v>74</v>
      </c>
      <c r="H106">
        <v>43</v>
      </c>
      <c r="I106">
        <v>8</v>
      </c>
      <c r="J106">
        <v>5</v>
      </c>
    </row>
    <row r="107" spans="7:10" x14ac:dyDescent="0.3">
      <c r="G107" s="15" t="s">
        <v>78</v>
      </c>
      <c r="H107">
        <v>26</v>
      </c>
      <c r="I107">
        <v>2</v>
      </c>
      <c r="J107">
        <v>2</v>
      </c>
    </row>
    <row r="108" spans="7:10" x14ac:dyDescent="0.3">
      <c r="G108" s="15" t="s">
        <v>75</v>
      </c>
      <c r="H108">
        <v>27</v>
      </c>
      <c r="I108">
        <v>2</v>
      </c>
      <c r="J108">
        <v>2</v>
      </c>
    </row>
    <row r="109" spans="7:10" x14ac:dyDescent="0.3">
      <c r="G109" s="15" t="s">
        <v>73</v>
      </c>
      <c r="H109">
        <v>8</v>
      </c>
      <c r="I109">
        <v>2</v>
      </c>
      <c r="J109">
        <v>1</v>
      </c>
    </row>
    <row r="110" spans="7:10" x14ac:dyDescent="0.3">
      <c r="G110" s="15" t="s">
        <v>77</v>
      </c>
      <c r="H110">
        <v>10</v>
      </c>
      <c r="I110">
        <v>2</v>
      </c>
      <c r="J110">
        <v>1</v>
      </c>
    </row>
    <row r="111" spans="7:10" x14ac:dyDescent="0.3">
      <c r="G111" s="15" t="s">
        <v>82</v>
      </c>
      <c r="H111">
        <v>241</v>
      </c>
      <c r="I111">
        <v>39</v>
      </c>
      <c r="J111">
        <v>26</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FBF9-C704-4C2B-83D7-ED70B7ADE602}">
  <dimension ref="A1"/>
  <sheetViews>
    <sheetView showGridLines="0" zoomScale="45" workbookViewId="0">
      <selection activeCell="C4" sqref="C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FE70-C302-4377-BD06-C396F91BDFA5}">
  <dimension ref="A1:L37"/>
  <sheetViews>
    <sheetView workbookViewId="0">
      <selection activeCell="C17" sqref="C17"/>
    </sheetView>
  </sheetViews>
  <sheetFormatPr defaultRowHeight="14.4" x14ac:dyDescent="0.3"/>
  <cols>
    <col min="1" max="1" width="37.5546875" customWidth="1"/>
    <col min="2" max="2" width="14.77734375" customWidth="1"/>
    <col min="3" max="3" width="17.33203125" customWidth="1"/>
    <col min="4" max="4" width="17.109375" customWidth="1"/>
    <col min="5" max="5" width="10.44140625" customWidth="1"/>
    <col min="6" max="6" width="11.88671875" customWidth="1"/>
    <col min="7" max="8" width="10.44140625" customWidth="1"/>
    <col min="9" max="9" width="23.44140625" customWidth="1"/>
    <col min="10" max="10" width="20" customWidth="1"/>
    <col min="11" max="11" width="15.77734375" customWidth="1"/>
    <col min="12" max="12" width="33.33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3">
        <v>46082</v>
      </c>
      <c r="B2" t="s">
        <v>12</v>
      </c>
      <c r="C2" t="s">
        <v>71</v>
      </c>
      <c r="D2" t="s">
        <v>13</v>
      </c>
      <c r="E2">
        <v>0</v>
      </c>
      <c r="F2">
        <v>4</v>
      </c>
      <c r="G2">
        <v>0</v>
      </c>
      <c r="H2">
        <v>0</v>
      </c>
      <c r="I2">
        <v>0</v>
      </c>
      <c r="J2" t="s">
        <v>79</v>
      </c>
      <c r="K2" t="s">
        <v>14</v>
      </c>
      <c r="L2" t="s">
        <v>15</v>
      </c>
    </row>
    <row r="3" spans="1:12" x14ac:dyDescent="0.3">
      <c r="A3" s="1">
        <v>46080</v>
      </c>
      <c r="B3" t="s">
        <v>12</v>
      </c>
      <c r="C3" t="s">
        <v>71</v>
      </c>
      <c r="D3" t="s">
        <v>13</v>
      </c>
      <c r="E3">
        <v>31</v>
      </c>
      <c r="F3">
        <v>37</v>
      </c>
      <c r="G3">
        <v>83.7</v>
      </c>
      <c r="H3">
        <v>4</v>
      </c>
      <c r="I3">
        <v>0</v>
      </c>
      <c r="J3" t="s">
        <v>79</v>
      </c>
      <c r="K3" t="s">
        <v>14</v>
      </c>
      <c r="L3" t="s">
        <v>15</v>
      </c>
    </row>
    <row r="4" spans="1:12" x14ac:dyDescent="0.3">
      <c r="A4" s="1">
        <v>46077</v>
      </c>
      <c r="B4" t="s">
        <v>12</v>
      </c>
      <c r="C4" t="s">
        <v>71</v>
      </c>
      <c r="D4" t="s">
        <v>16</v>
      </c>
      <c r="E4">
        <v>58</v>
      </c>
      <c r="F4">
        <v>68</v>
      </c>
      <c r="G4">
        <v>85.2</v>
      </c>
      <c r="H4">
        <v>7</v>
      </c>
      <c r="I4">
        <v>0</v>
      </c>
      <c r="J4" t="s">
        <v>79</v>
      </c>
      <c r="K4" t="s">
        <v>17</v>
      </c>
      <c r="L4" t="s">
        <v>15</v>
      </c>
    </row>
    <row r="5" spans="1:12" x14ac:dyDescent="0.3">
      <c r="A5" s="1">
        <v>46074</v>
      </c>
      <c r="B5" t="s">
        <v>18</v>
      </c>
      <c r="C5" t="s">
        <v>71</v>
      </c>
      <c r="D5" t="s">
        <v>19</v>
      </c>
      <c r="E5">
        <v>82</v>
      </c>
      <c r="F5">
        <v>55</v>
      </c>
      <c r="G5">
        <v>149</v>
      </c>
      <c r="H5">
        <v>8</v>
      </c>
      <c r="I5">
        <v>3</v>
      </c>
      <c r="J5" t="s">
        <v>20</v>
      </c>
      <c r="K5" t="s">
        <v>17</v>
      </c>
      <c r="L5" t="s">
        <v>21</v>
      </c>
    </row>
    <row r="6" spans="1:12" x14ac:dyDescent="0.3">
      <c r="A6" s="1">
        <v>46072</v>
      </c>
      <c r="B6" t="s">
        <v>18</v>
      </c>
      <c r="C6" t="s">
        <v>71</v>
      </c>
      <c r="D6" t="s">
        <v>22</v>
      </c>
      <c r="E6">
        <v>31</v>
      </c>
      <c r="F6">
        <v>24</v>
      </c>
      <c r="G6">
        <v>129.1</v>
      </c>
      <c r="H6">
        <v>4</v>
      </c>
      <c r="I6">
        <v>0</v>
      </c>
      <c r="J6" t="s">
        <v>79</v>
      </c>
      <c r="K6" t="s">
        <v>14</v>
      </c>
      <c r="L6" t="s">
        <v>21</v>
      </c>
    </row>
    <row r="7" spans="1:12" x14ac:dyDescent="0.3">
      <c r="A7" s="1">
        <v>46068</v>
      </c>
      <c r="B7" t="s">
        <v>18</v>
      </c>
      <c r="C7" t="s">
        <v>71</v>
      </c>
      <c r="D7" t="s">
        <v>23</v>
      </c>
      <c r="E7" t="s">
        <v>24</v>
      </c>
      <c r="F7">
        <v>17</v>
      </c>
      <c r="G7">
        <v>94.1</v>
      </c>
      <c r="H7">
        <v>2</v>
      </c>
      <c r="I7">
        <v>0</v>
      </c>
      <c r="J7" t="s">
        <v>79</v>
      </c>
      <c r="K7" t="s">
        <v>17</v>
      </c>
      <c r="L7" t="s">
        <v>21</v>
      </c>
    </row>
    <row r="8" spans="1:12" x14ac:dyDescent="0.3">
      <c r="A8" s="1">
        <v>46058</v>
      </c>
      <c r="B8" t="s">
        <v>25</v>
      </c>
      <c r="C8" t="s">
        <v>72</v>
      </c>
      <c r="D8" t="s">
        <v>26</v>
      </c>
      <c r="E8">
        <v>87</v>
      </c>
      <c r="F8">
        <v>41</v>
      </c>
      <c r="G8">
        <v>212.2</v>
      </c>
      <c r="H8">
        <v>12</v>
      </c>
      <c r="I8">
        <v>3</v>
      </c>
      <c r="J8" t="s">
        <v>20</v>
      </c>
      <c r="K8" t="s">
        <v>17</v>
      </c>
      <c r="L8" t="s">
        <v>27</v>
      </c>
    </row>
    <row r="9" spans="1:12" x14ac:dyDescent="0.3">
      <c r="A9" s="1">
        <v>46051</v>
      </c>
      <c r="B9" t="s">
        <v>25</v>
      </c>
      <c r="C9" t="s">
        <v>73</v>
      </c>
      <c r="D9" t="s">
        <v>26</v>
      </c>
      <c r="E9" t="s">
        <v>28</v>
      </c>
      <c r="F9">
        <v>27</v>
      </c>
      <c r="G9">
        <v>200</v>
      </c>
      <c r="H9">
        <v>8</v>
      </c>
      <c r="I9">
        <v>2</v>
      </c>
      <c r="J9" t="s">
        <v>20</v>
      </c>
      <c r="K9" t="s">
        <v>17</v>
      </c>
      <c r="L9" t="s">
        <v>27</v>
      </c>
    </row>
    <row r="10" spans="1:12" x14ac:dyDescent="0.3">
      <c r="A10" s="1">
        <v>46048</v>
      </c>
      <c r="B10" t="s">
        <v>25</v>
      </c>
      <c r="C10" t="s">
        <v>74</v>
      </c>
      <c r="D10" t="s">
        <v>26</v>
      </c>
      <c r="E10">
        <v>6</v>
      </c>
      <c r="F10">
        <v>7</v>
      </c>
      <c r="G10">
        <v>85.7</v>
      </c>
      <c r="H10">
        <v>1</v>
      </c>
      <c r="I10">
        <v>0</v>
      </c>
      <c r="J10" t="s">
        <v>79</v>
      </c>
      <c r="K10" t="s">
        <v>14</v>
      </c>
      <c r="L10" t="s">
        <v>27</v>
      </c>
    </row>
    <row r="11" spans="1:12" x14ac:dyDescent="0.3">
      <c r="A11" s="1">
        <v>46039</v>
      </c>
      <c r="B11" t="s">
        <v>25</v>
      </c>
      <c r="C11" t="s">
        <v>72</v>
      </c>
      <c r="D11" t="s">
        <v>29</v>
      </c>
      <c r="E11">
        <v>96</v>
      </c>
      <c r="F11">
        <v>61</v>
      </c>
      <c r="G11">
        <v>157.30000000000001</v>
      </c>
      <c r="H11">
        <v>13</v>
      </c>
      <c r="I11">
        <v>3</v>
      </c>
      <c r="J11" t="s">
        <v>20</v>
      </c>
      <c r="K11" t="s">
        <v>17</v>
      </c>
      <c r="L11" t="s">
        <v>27</v>
      </c>
    </row>
    <row r="12" spans="1:12" x14ac:dyDescent="0.3">
      <c r="A12" s="1">
        <v>45963</v>
      </c>
      <c r="B12" t="s">
        <v>12</v>
      </c>
      <c r="C12" t="s">
        <v>75</v>
      </c>
      <c r="D12" t="s">
        <v>30</v>
      </c>
      <c r="E12">
        <v>72</v>
      </c>
      <c r="F12">
        <v>88</v>
      </c>
      <c r="G12">
        <v>81.8</v>
      </c>
      <c r="H12">
        <v>9</v>
      </c>
      <c r="I12">
        <v>0</v>
      </c>
      <c r="J12" t="s">
        <v>79</v>
      </c>
      <c r="K12" t="s">
        <v>17</v>
      </c>
      <c r="L12" t="s">
        <v>31</v>
      </c>
    </row>
    <row r="13" spans="1:12" x14ac:dyDescent="0.3">
      <c r="A13" s="1">
        <v>45850</v>
      </c>
      <c r="B13" t="s">
        <v>18</v>
      </c>
      <c r="C13" t="s">
        <v>76</v>
      </c>
      <c r="D13" t="s">
        <v>32</v>
      </c>
      <c r="E13">
        <v>45</v>
      </c>
      <c r="F13">
        <v>36</v>
      </c>
      <c r="G13">
        <v>125</v>
      </c>
      <c r="H13">
        <v>6</v>
      </c>
      <c r="I13">
        <v>1</v>
      </c>
      <c r="J13" t="s">
        <v>79</v>
      </c>
      <c r="K13" t="s">
        <v>14</v>
      </c>
      <c r="L13" t="s">
        <v>33</v>
      </c>
    </row>
    <row r="14" spans="1:12" x14ac:dyDescent="0.3">
      <c r="A14" s="1">
        <v>45471</v>
      </c>
      <c r="B14" t="s">
        <v>34</v>
      </c>
      <c r="C14" t="s">
        <v>75</v>
      </c>
      <c r="D14" t="s">
        <v>35</v>
      </c>
      <c r="E14">
        <v>149</v>
      </c>
      <c r="F14">
        <v>234</v>
      </c>
      <c r="G14">
        <v>63.6</v>
      </c>
      <c r="H14">
        <v>18</v>
      </c>
      <c r="I14">
        <v>2</v>
      </c>
      <c r="J14" t="s">
        <v>20</v>
      </c>
      <c r="K14" t="s">
        <v>36</v>
      </c>
      <c r="L14" t="s">
        <v>37</v>
      </c>
    </row>
    <row r="15" spans="1:12" x14ac:dyDescent="0.3">
      <c r="A15" s="1">
        <v>45366</v>
      </c>
      <c r="B15" t="s">
        <v>25</v>
      </c>
      <c r="C15" t="s">
        <v>74</v>
      </c>
      <c r="D15" t="s">
        <v>38</v>
      </c>
      <c r="E15">
        <v>74</v>
      </c>
      <c r="F15">
        <v>51</v>
      </c>
      <c r="G15">
        <v>145</v>
      </c>
      <c r="H15">
        <v>10</v>
      </c>
      <c r="I15">
        <v>2</v>
      </c>
      <c r="J15" t="s">
        <v>20</v>
      </c>
      <c r="K15" t="s">
        <v>17</v>
      </c>
      <c r="L15" t="s">
        <v>39</v>
      </c>
    </row>
    <row r="16" spans="1:12" x14ac:dyDescent="0.3">
      <c r="A16" s="1">
        <v>45347</v>
      </c>
      <c r="B16" t="s">
        <v>25</v>
      </c>
      <c r="C16" t="s">
        <v>72</v>
      </c>
      <c r="D16" t="s">
        <v>38</v>
      </c>
      <c r="E16">
        <v>88</v>
      </c>
      <c r="F16">
        <v>56</v>
      </c>
      <c r="G16">
        <v>157.1</v>
      </c>
      <c r="H16">
        <v>12</v>
      </c>
      <c r="I16">
        <v>3</v>
      </c>
      <c r="J16" t="s">
        <v>20</v>
      </c>
      <c r="K16" t="s">
        <v>17</v>
      </c>
      <c r="L16" t="s">
        <v>39</v>
      </c>
    </row>
    <row r="17" spans="1:12" x14ac:dyDescent="0.3">
      <c r="A17" s="1">
        <v>45313</v>
      </c>
      <c r="B17" t="s">
        <v>25</v>
      </c>
      <c r="C17" t="s">
        <v>74</v>
      </c>
      <c r="D17" t="s">
        <v>38</v>
      </c>
      <c r="E17">
        <v>71</v>
      </c>
      <c r="F17">
        <v>48</v>
      </c>
      <c r="G17">
        <v>147.9</v>
      </c>
      <c r="H17">
        <v>10</v>
      </c>
      <c r="I17">
        <v>2</v>
      </c>
      <c r="J17" t="s">
        <v>20</v>
      </c>
      <c r="K17" t="s">
        <v>17</v>
      </c>
      <c r="L17" t="s">
        <v>39</v>
      </c>
    </row>
    <row r="18" spans="1:12" x14ac:dyDescent="0.3">
      <c r="A18" s="1">
        <v>45235</v>
      </c>
      <c r="B18" t="s">
        <v>12</v>
      </c>
      <c r="C18" t="s">
        <v>76</v>
      </c>
      <c r="D18" t="s">
        <v>40</v>
      </c>
      <c r="E18">
        <v>114</v>
      </c>
      <c r="F18">
        <v>132</v>
      </c>
      <c r="G18">
        <v>86.4</v>
      </c>
      <c r="H18">
        <v>14</v>
      </c>
      <c r="I18">
        <v>2</v>
      </c>
      <c r="J18" t="s">
        <v>20</v>
      </c>
      <c r="K18" t="s">
        <v>17</v>
      </c>
      <c r="L18" t="s">
        <v>41</v>
      </c>
    </row>
    <row r="19" spans="1:12" x14ac:dyDescent="0.3">
      <c r="A19" s="1">
        <v>45228</v>
      </c>
      <c r="B19" t="s">
        <v>18</v>
      </c>
      <c r="C19" t="s">
        <v>76</v>
      </c>
      <c r="D19" t="s">
        <v>42</v>
      </c>
      <c r="E19">
        <v>67</v>
      </c>
      <c r="F19">
        <v>45</v>
      </c>
      <c r="G19">
        <v>148.9</v>
      </c>
      <c r="H19">
        <v>9</v>
      </c>
      <c r="I19">
        <v>2</v>
      </c>
      <c r="J19" t="s">
        <v>20</v>
      </c>
      <c r="K19" t="s">
        <v>17</v>
      </c>
      <c r="L19" t="s">
        <v>33</v>
      </c>
    </row>
    <row r="20" spans="1:12" x14ac:dyDescent="0.3">
      <c r="A20" s="1">
        <v>45158</v>
      </c>
      <c r="B20" t="s">
        <v>18</v>
      </c>
      <c r="C20" t="s">
        <v>77</v>
      </c>
      <c r="D20" t="s">
        <v>43</v>
      </c>
      <c r="E20">
        <v>74</v>
      </c>
      <c r="F20">
        <v>52</v>
      </c>
      <c r="G20">
        <v>142.30000000000001</v>
      </c>
      <c r="H20">
        <v>10</v>
      </c>
      <c r="I20">
        <v>2</v>
      </c>
      <c r="J20" t="s">
        <v>20</v>
      </c>
      <c r="K20" t="s">
        <v>17</v>
      </c>
      <c r="L20" t="s">
        <v>44</v>
      </c>
    </row>
    <row r="21" spans="1:12" x14ac:dyDescent="0.3">
      <c r="A21" s="1">
        <v>45117</v>
      </c>
      <c r="B21" t="s">
        <v>12</v>
      </c>
      <c r="C21" t="s">
        <v>78</v>
      </c>
      <c r="D21" t="s">
        <v>45</v>
      </c>
      <c r="E21">
        <v>105</v>
      </c>
      <c r="F21">
        <v>118</v>
      </c>
      <c r="G21">
        <v>89</v>
      </c>
      <c r="H21">
        <v>13</v>
      </c>
      <c r="I21">
        <v>1</v>
      </c>
      <c r="J21" t="s">
        <v>20</v>
      </c>
      <c r="K21" t="s">
        <v>17</v>
      </c>
      <c r="L21" t="s">
        <v>46</v>
      </c>
    </row>
    <row r="22" spans="1:12" x14ac:dyDescent="0.3">
      <c r="A22" s="1">
        <v>45058</v>
      </c>
      <c r="B22" t="s">
        <v>25</v>
      </c>
      <c r="C22" t="s">
        <v>74</v>
      </c>
      <c r="D22" t="s">
        <v>42</v>
      </c>
      <c r="E22">
        <v>85</v>
      </c>
      <c r="F22">
        <v>57</v>
      </c>
      <c r="G22">
        <v>149.1</v>
      </c>
      <c r="H22">
        <v>12</v>
      </c>
      <c r="I22">
        <v>2</v>
      </c>
      <c r="J22" t="s">
        <v>20</v>
      </c>
      <c r="K22" t="s">
        <v>17</v>
      </c>
      <c r="L22" t="s">
        <v>47</v>
      </c>
    </row>
    <row r="23" spans="1:12" x14ac:dyDescent="0.3">
      <c r="A23" s="1">
        <v>45003</v>
      </c>
      <c r="B23" t="s">
        <v>25</v>
      </c>
      <c r="C23" t="s">
        <v>74</v>
      </c>
      <c r="D23" t="s">
        <v>42</v>
      </c>
      <c r="E23">
        <v>72</v>
      </c>
      <c r="F23">
        <v>50</v>
      </c>
      <c r="G23">
        <v>144</v>
      </c>
      <c r="H23">
        <v>10</v>
      </c>
      <c r="I23">
        <v>2</v>
      </c>
      <c r="J23" t="s">
        <v>20</v>
      </c>
      <c r="K23" t="s">
        <v>17</v>
      </c>
      <c r="L23" t="s">
        <v>47</v>
      </c>
    </row>
    <row r="24" spans="1:12" x14ac:dyDescent="0.3">
      <c r="A24" s="1">
        <v>44954</v>
      </c>
      <c r="B24" t="s">
        <v>12</v>
      </c>
      <c r="C24" t="s">
        <v>71</v>
      </c>
      <c r="D24" t="s">
        <v>48</v>
      </c>
      <c r="E24">
        <v>112</v>
      </c>
      <c r="F24">
        <v>124</v>
      </c>
      <c r="G24">
        <v>90.3</v>
      </c>
      <c r="H24">
        <v>14</v>
      </c>
      <c r="I24">
        <v>2</v>
      </c>
      <c r="J24" t="s">
        <v>20</v>
      </c>
      <c r="K24" t="s">
        <v>17</v>
      </c>
      <c r="L24" t="s">
        <v>15</v>
      </c>
    </row>
    <row r="25" spans="1:12" x14ac:dyDescent="0.3">
      <c r="A25" s="1">
        <v>44910</v>
      </c>
      <c r="B25" t="s">
        <v>18</v>
      </c>
      <c r="C25" t="s">
        <v>76</v>
      </c>
      <c r="D25" t="s">
        <v>32</v>
      </c>
      <c r="E25">
        <v>79</v>
      </c>
      <c r="F25">
        <v>55</v>
      </c>
      <c r="G25">
        <v>143.6</v>
      </c>
      <c r="H25">
        <v>11</v>
      </c>
      <c r="I25">
        <v>2</v>
      </c>
      <c r="J25" t="s">
        <v>20</v>
      </c>
      <c r="K25" t="s">
        <v>17</v>
      </c>
      <c r="L25" t="s">
        <v>33</v>
      </c>
    </row>
    <row r="26" spans="1:12" x14ac:dyDescent="0.3">
      <c r="A26" s="1">
        <v>44787</v>
      </c>
      <c r="B26" t="s">
        <v>12</v>
      </c>
      <c r="C26" t="s">
        <v>78</v>
      </c>
      <c r="D26" t="s">
        <v>49</v>
      </c>
      <c r="E26">
        <v>106</v>
      </c>
      <c r="F26">
        <v>121</v>
      </c>
      <c r="G26">
        <v>87.6</v>
      </c>
      <c r="H26">
        <v>13</v>
      </c>
      <c r="I26">
        <v>1</v>
      </c>
      <c r="J26" t="s">
        <v>20</v>
      </c>
      <c r="K26" t="s">
        <v>17</v>
      </c>
      <c r="L26" t="s">
        <v>46</v>
      </c>
    </row>
    <row r="27" spans="1:12" x14ac:dyDescent="0.3">
      <c r="A27" s="1">
        <v>44730</v>
      </c>
      <c r="B27" t="s">
        <v>25</v>
      </c>
      <c r="C27" t="s">
        <v>72</v>
      </c>
      <c r="D27" t="s">
        <v>40</v>
      </c>
      <c r="E27">
        <v>77</v>
      </c>
      <c r="F27">
        <v>52</v>
      </c>
      <c r="G27">
        <v>148.1</v>
      </c>
      <c r="H27">
        <v>11</v>
      </c>
      <c r="I27">
        <v>2</v>
      </c>
      <c r="J27" t="s">
        <v>20</v>
      </c>
      <c r="K27" t="s">
        <v>17</v>
      </c>
      <c r="L27" t="s">
        <v>50</v>
      </c>
    </row>
    <row r="29" spans="1:12" x14ac:dyDescent="0.3">
      <c r="A29" s="4" t="s">
        <v>63</v>
      </c>
      <c r="B29" s="5" t="s">
        <v>64</v>
      </c>
      <c r="C29" s="5" t="s">
        <v>65</v>
      </c>
      <c r="D29" s="5" t="s">
        <v>66</v>
      </c>
      <c r="E29" s="5" t="s">
        <v>67</v>
      </c>
      <c r="F29" s="5" t="s">
        <v>68</v>
      </c>
      <c r="G29" s="5" t="s">
        <v>69</v>
      </c>
      <c r="H29" s="5" t="s">
        <v>70</v>
      </c>
      <c r="I29" s="6" t="s">
        <v>80</v>
      </c>
    </row>
    <row r="30" spans="1:12" x14ac:dyDescent="0.3">
      <c r="A30" s="11" t="s">
        <v>51</v>
      </c>
      <c r="B30" s="16" t="s">
        <v>1</v>
      </c>
      <c r="C30" s="16" t="s">
        <v>52</v>
      </c>
      <c r="D30" s="16" t="s">
        <v>4</v>
      </c>
      <c r="E30" s="16" t="s">
        <v>53</v>
      </c>
      <c r="F30" s="16" t="s">
        <v>54</v>
      </c>
      <c r="G30" s="16" t="s">
        <v>55</v>
      </c>
      <c r="H30" s="16" t="s">
        <v>56</v>
      </c>
      <c r="I30" s="16" t="s">
        <v>57</v>
      </c>
      <c r="J30" s="17"/>
    </row>
    <row r="31" spans="1:12" x14ac:dyDescent="0.3">
      <c r="A31" s="12" t="s">
        <v>58</v>
      </c>
      <c r="B31" s="13" t="s">
        <v>12</v>
      </c>
      <c r="C31" s="13">
        <v>120</v>
      </c>
      <c r="D31" s="13">
        <v>5411</v>
      </c>
      <c r="E31" s="13">
        <v>47.9</v>
      </c>
      <c r="F31" s="13">
        <v>90.4</v>
      </c>
      <c r="G31" s="13">
        <v>14</v>
      </c>
      <c r="H31" s="13">
        <v>35</v>
      </c>
      <c r="I31" s="13" t="s">
        <v>59</v>
      </c>
      <c r="J31" s="18"/>
    </row>
    <row r="32" spans="1:12" x14ac:dyDescent="0.3">
      <c r="A32" s="7" t="s">
        <v>58</v>
      </c>
      <c r="B32" s="8" t="s">
        <v>18</v>
      </c>
      <c r="C32" s="8">
        <v>160</v>
      </c>
      <c r="D32" s="8">
        <v>4231</v>
      </c>
      <c r="E32" s="8">
        <v>30.4</v>
      </c>
      <c r="F32" s="8">
        <v>124.5</v>
      </c>
      <c r="G32" s="8">
        <v>1</v>
      </c>
      <c r="H32" s="8">
        <v>33</v>
      </c>
      <c r="I32" s="8" t="s">
        <v>60</v>
      </c>
      <c r="J32" s="9"/>
    </row>
    <row r="33" spans="1:10" x14ac:dyDescent="0.3">
      <c r="A33" s="12" t="s">
        <v>58</v>
      </c>
      <c r="B33" s="13" t="s">
        <v>34</v>
      </c>
      <c r="C33" s="13">
        <v>8</v>
      </c>
      <c r="D33" s="13">
        <v>635</v>
      </c>
      <c r="E33" s="13">
        <v>48.9</v>
      </c>
      <c r="F33" s="13">
        <v>63.4</v>
      </c>
      <c r="G33" s="13">
        <v>2</v>
      </c>
      <c r="H33" s="13">
        <v>3</v>
      </c>
      <c r="I33" s="13" t="s">
        <v>61</v>
      </c>
      <c r="J33" s="18"/>
    </row>
    <row r="34" spans="1:10" x14ac:dyDescent="0.3">
      <c r="A34" s="2" t="s">
        <v>58</v>
      </c>
      <c r="B34" s="8" t="s">
        <v>25</v>
      </c>
      <c r="C34" s="8">
        <v>35</v>
      </c>
      <c r="D34" s="8">
        <v>1023</v>
      </c>
      <c r="E34" s="8">
        <v>31</v>
      </c>
      <c r="F34" s="8">
        <v>136.80000000000001</v>
      </c>
      <c r="G34" s="8">
        <v>0</v>
      </c>
      <c r="H34" s="8">
        <v>7</v>
      </c>
      <c r="I34" s="8" t="s">
        <v>62</v>
      </c>
      <c r="J34" s="10"/>
    </row>
    <row r="36" spans="1:10" x14ac:dyDescent="0.3">
      <c r="B36" t="s">
        <v>94</v>
      </c>
      <c r="C36">
        <f>SUM(C31,C32,C33,C34)</f>
        <v>323</v>
      </c>
    </row>
    <row r="37" spans="1:10" x14ac:dyDescent="0.3">
      <c r="B37" t="s">
        <v>94</v>
      </c>
      <c r="C37">
        <f>SUM(D31,D32,D33,D34)</f>
        <v>11300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Sheet2</vt:lpstr>
      <vt:lpstr>srumthi18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likitha likitha</dc:creator>
  <cp:lastModifiedBy>likitha likitha</cp:lastModifiedBy>
  <dcterms:created xsi:type="dcterms:W3CDTF">2026-03-11T09:13:24Z</dcterms:created>
  <dcterms:modified xsi:type="dcterms:W3CDTF">2026-04-08T05:21:29Z</dcterms:modified>
</cp:coreProperties>
</file>